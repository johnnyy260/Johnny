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Master AAI\"/>
    </mc:Choice>
  </mc:AlternateContent>
  <xr:revisionPtr revIDLastSave="0" documentId="8_{717651F3-A5FC-40F9-A653-265B9358E0EA}" xr6:coauthVersionLast="47" xr6:coauthVersionMax="47" xr10:uidLastSave="{00000000-0000-0000-0000-000000000000}"/>
  <bookViews>
    <workbookView xWindow="-120" yWindow="-120" windowWidth="29040" windowHeight="15720" activeTab="1" xr2:uid="{522F0A39-D734-42AC-A236-84B2B819365E}"/>
  </bookViews>
  <sheets>
    <sheet name="Graphs -Size" sheetId="1" r:id="rId1"/>
    <sheet name="Graphs - Male Female" sheetId="6" r:id="rId2"/>
    <sheet name="K20" sheetId="3" r:id="rId3"/>
    <sheet name="K50" sheetId="2" r:id="rId4"/>
    <sheet name="K100" sheetId="4" r:id="rId5"/>
    <sheet name="Gender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6" l="1"/>
  <c r="L9" i="6"/>
  <c r="M8" i="6"/>
  <c r="L8" i="6"/>
  <c r="M7" i="6"/>
  <c r="L7" i="6"/>
  <c r="M6" i="6"/>
  <c r="L6" i="6"/>
  <c r="M5" i="6"/>
  <c r="L5" i="6"/>
  <c r="J5" i="6"/>
  <c r="G9" i="6"/>
  <c r="F9" i="6"/>
  <c r="G8" i="6"/>
  <c r="F8" i="6"/>
  <c r="G7" i="6"/>
  <c r="F7" i="6"/>
  <c r="G6" i="6"/>
  <c r="F6" i="6"/>
  <c r="G5" i="6"/>
  <c r="F5" i="6"/>
  <c r="AN9" i="4"/>
  <c r="AN8" i="4"/>
  <c r="AN6" i="4"/>
  <c r="AT54" i="4"/>
  <c r="AT53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40" i="4"/>
  <c r="AT39" i="4"/>
  <c r="AT38" i="4"/>
  <c r="AT37" i="4"/>
  <c r="AT36" i="4"/>
  <c r="AT35" i="4"/>
  <c r="AT34" i="4"/>
  <c r="AT33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T13" i="4"/>
  <c r="AK76" i="4"/>
  <c r="AK75" i="4"/>
  <c r="AK74" i="4"/>
  <c r="AK73" i="4"/>
  <c r="AK72" i="4"/>
  <c r="AK71" i="4"/>
  <c r="AK70" i="4"/>
  <c r="AK69" i="4"/>
  <c r="AK68" i="4"/>
  <c r="AK67" i="4"/>
  <c r="AK66" i="4"/>
  <c r="AK65" i="4"/>
  <c r="AK64" i="4"/>
  <c r="AK63" i="4"/>
  <c r="AK62" i="4"/>
  <c r="AK61" i="4"/>
  <c r="AK60" i="4"/>
  <c r="AK59" i="4"/>
  <c r="AK58" i="4"/>
  <c r="AK57" i="4"/>
  <c r="AK56" i="4"/>
  <c r="AK55" i="4"/>
  <c r="AK54" i="4"/>
  <c r="AK53" i="4"/>
  <c r="AK52" i="4"/>
  <c r="AK51" i="4"/>
  <c r="AK50" i="4"/>
  <c r="AK49" i="4"/>
  <c r="AK48" i="4"/>
  <c r="AK47" i="4"/>
  <c r="AK46" i="4"/>
  <c r="AK45" i="4"/>
  <c r="AK44" i="4"/>
  <c r="AK43" i="4"/>
  <c r="AK42" i="4"/>
  <c r="AK41" i="4"/>
  <c r="AK40" i="4"/>
  <c r="AK39" i="4"/>
  <c r="AK38" i="4"/>
  <c r="AK37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K13" i="4"/>
  <c r="AB154" i="4"/>
  <c r="AB153" i="4"/>
  <c r="AB146" i="4"/>
  <c r="AB145" i="4"/>
  <c r="AB138" i="4"/>
  <c r="AB137" i="4"/>
  <c r="AB130" i="4"/>
  <c r="AB129" i="4"/>
  <c r="AB122" i="4"/>
  <c r="AB121" i="4"/>
  <c r="AB114" i="4"/>
  <c r="AB113" i="4"/>
  <c r="AB106" i="4"/>
  <c r="AB105" i="4"/>
  <c r="AB98" i="4"/>
  <c r="AB97" i="4"/>
  <c r="AB90" i="4"/>
  <c r="AB89" i="4"/>
  <c r="AB82" i="4"/>
  <c r="AB81" i="4"/>
  <c r="AB74" i="4"/>
  <c r="AB73" i="4"/>
  <c r="AB66" i="4"/>
  <c r="AB65" i="4"/>
  <c r="AB58" i="4"/>
  <c r="AB57" i="4"/>
  <c r="AB50" i="4"/>
  <c r="AB49" i="4"/>
  <c r="AB42" i="4"/>
  <c r="AB41" i="4"/>
  <c r="AB34" i="4"/>
  <c r="AB33" i="4"/>
  <c r="AB26" i="4"/>
  <c r="AB25" i="4"/>
  <c r="AB18" i="4"/>
  <c r="AB17" i="4"/>
  <c r="S245" i="4"/>
  <c r="S244" i="4"/>
  <c r="S237" i="4"/>
  <c r="S236" i="4"/>
  <c r="S229" i="4"/>
  <c r="S228" i="4"/>
  <c r="S221" i="4"/>
  <c r="S220" i="4"/>
  <c r="S213" i="4"/>
  <c r="S212" i="4"/>
  <c r="S205" i="4"/>
  <c r="S204" i="4"/>
  <c r="S197" i="4"/>
  <c r="S196" i="4"/>
  <c r="S189" i="4"/>
  <c r="S188" i="4"/>
  <c r="S181" i="4"/>
  <c r="S180" i="4"/>
  <c r="S172" i="4"/>
  <c r="S165" i="4"/>
  <c r="S164" i="4"/>
  <c r="S156" i="4"/>
  <c r="S149" i="4"/>
  <c r="S148" i="4"/>
  <c r="S140" i="4"/>
  <c r="S132" i="4"/>
  <c r="S124" i="4"/>
  <c r="S116" i="4"/>
  <c r="S108" i="4"/>
  <c r="S100" i="4"/>
  <c r="S92" i="4"/>
  <c r="S84" i="4"/>
  <c r="S76" i="4"/>
  <c r="S68" i="4"/>
  <c r="S60" i="4"/>
  <c r="S52" i="4"/>
  <c r="S44" i="4"/>
  <c r="S36" i="4"/>
  <c r="S28" i="4"/>
  <c r="S20" i="4"/>
  <c r="N4" i="5"/>
  <c r="N3" i="5"/>
  <c r="M4" i="5"/>
  <c r="M3" i="5"/>
  <c r="D2" i="4"/>
  <c r="AP31" i="4" s="1"/>
  <c r="AR54" i="4"/>
  <c r="AS54" i="4" s="1"/>
  <c r="AR53" i="4"/>
  <c r="AS53" i="4" s="1"/>
  <c r="AR52" i="4"/>
  <c r="AS52" i="4" s="1"/>
  <c r="AR51" i="4"/>
  <c r="AS51" i="4" s="1"/>
  <c r="AR50" i="4"/>
  <c r="AS50" i="4" s="1"/>
  <c r="AR49" i="4"/>
  <c r="AS49" i="4" s="1"/>
  <c r="AR48" i="4"/>
  <c r="AS48" i="4" s="1"/>
  <c r="AR47" i="4"/>
  <c r="AS47" i="4" s="1"/>
  <c r="AR46" i="4"/>
  <c r="AS46" i="4" s="1"/>
  <c r="AR45" i="4"/>
  <c r="AS45" i="4" s="1"/>
  <c r="AR44" i="4"/>
  <c r="AS44" i="4" s="1"/>
  <c r="AR43" i="4"/>
  <c r="AS43" i="4" s="1"/>
  <c r="AR42" i="4"/>
  <c r="AS42" i="4" s="1"/>
  <c r="AR41" i="4"/>
  <c r="AS41" i="4" s="1"/>
  <c r="AR40" i="4"/>
  <c r="AS40" i="4" s="1"/>
  <c r="AR39" i="4"/>
  <c r="AS39" i="4" s="1"/>
  <c r="AR38" i="4"/>
  <c r="AS38" i="4" s="1"/>
  <c r="AR37" i="4"/>
  <c r="AS37" i="4" s="1"/>
  <c r="AR36" i="4"/>
  <c r="AS36" i="4" s="1"/>
  <c r="AR35" i="4"/>
  <c r="AS35" i="4" s="1"/>
  <c r="AR34" i="4"/>
  <c r="AS34" i="4" s="1"/>
  <c r="AR33" i="4"/>
  <c r="AS33" i="4" s="1"/>
  <c r="AR32" i="4"/>
  <c r="AS32" i="4" s="1"/>
  <c r="AR31" i="4"/>
  <c r="AS31" i="4" s="1"/>
  <c r="AR30" i="4"/>
  <c r="AS30" i="4" s="1"/>
  <c r="AR29" i="4"/>
  <c r="AS29" i="4" s="1"/>
  <c r="AR28" i="4"/>
  <c r="AS28" i="4" s="1"/>
  <c r="AR27" i="4"/>
  <c r="AS27" i="4" s="1"/>
  <c r="AR26" i="4"/>
  <c r="AS26" i="4" s="1"/>
  <c r="AR25" i="4"/>
  <c r="AS25" i="4" s="1"/>
  <c r="AR24" i="4"/>
  <c r="AS24" i="4" s="1"/>
  <c r="AR23" i="4"/>
  <c r="AS23" i="4" s="1"/>
  <c r="AR22" i="4"/>
  <c r="AS22" i="4" s="1"/>
  <c r="AR21" i="4"/>
  <c r="AS21" i="4" s="1"/>
  <c r="AR20" i="4"/>
  <c r="AS20" i="4" s="1"/>
  <c r="AR19" i="4"/>
  <c r="AS19" i="4" s="1"/>
  <c r="AR18" i="4"/>
  <c r="AS18" i="4" s="1"/>
  <c r="AR17" i="4"/>
  <c r="AS17" i="4" s="1"/>
  <c r="AR16" i="4"/>
  <c r="AS16" i="4" s="1"/>
  <c r="AR15" i="4"/>
  <c r="AS15" i="4" s="1"/>
  <c r="AR14" i="4"/>
  <c r="AS14" i="4" s="1"/>
  <c r="AI76" i="4"/>
  <c r="AJ76" i="4" s="1"/>
  <c r="AI75" i="4"/>
  <c r="AJ75" i="4" s="1"/>
  <c r="AI74" i="4"/>
  <c r="AJ74" i="4" s="1"/>
  <c r="AI73" i="4"/>
  <c r="AJ73" i="4" s="1"/>
  <c r="AI72" i="4"/>
  <c r="AJ72" i="4" s="1"/>
  <c r="AI71" i="4"/>
  <c r="AJ71" i="4" s="1"/>
  <c r="AI70" i="4"/>
  <c r="AJ70" i="4" s="1"/>
  <c r="AI69" i="4"/>
  <c r="AJ69" i="4" s="1"/>
  <c r="AI68" i="4"/>
  <c r="AJ68" i="4" s="1"/>
  <c r="AI67" i="4"/>
  <c r="AJ67" i="4" s="1"/>
  <c r="AI66" i="4"/>
  <c r="AJ66" i="4" s="1"/>
  <c r="AI65" i="4"/>
  <c r="AJ65" i="4" s="1"/>
  <c r="AI64" i="4"/>
  <c r="AJ64" i="4" s="1"/>
  <c r="AI63" i="4"/>
  <c r="AJ63" i="4" s="1"/>
  <c r="AI62" i="4"/>
  <c r="AJ62" i="4" s="1"/>
  <c r="AI61" i="4"/>
  <c r="AJ61" i="4" s="1"/>
  <c r="AI60" i="4"/>
  <c r="AJ60" i="4" s="1"/>
  <c r="AI59" i="4"/>
  <c r="AJ59" i="4" s="1"/>
  <c r="AI58" i="4"/>
  <c r="AJ58" i="4" s="1"/>
  <c r="AI57" i="4"/>
  <c r="AJ57" i="4" s="1"/>
  <c r="AI56" i="4"/>
  <c r="AJ56" i="4" s="1"/>
  <c r="AI55" i="4"/>
  <c r="AJ55" i="4" s="1"/>
  <c r="AI54" i="4"/>
  <c r="AJ54" i="4" s="1"/>
  <c r="AI53" i="4"/>
  <c r="AJ53" i="4" s="1"/>
  <c r="AI52" i="4"/>
  <c r="AJ52" i="4" s="1"/>
  <c r="AI51" i="4"/>
  <c r="AJ51" i="4" s="1"/>
  <c r="AI50" i="4"/>
  <c r="AJ50" i="4" s="1"/>
  <c r="AI49" i="4"/>
  <c r="AJ49" i="4" s="1"/>
  <c r="AI48" i="4"/>
  <c r="AJ48" i="4" s="1"/>
  <c r="AI47" i="4"/>
  <c r="AJ47" i="4" s="1"/>
  <c r="AI46" i="4"/>
  <c r="AJ46" i="4" s="1"/>
  <c r="AI45" i="4"/>
  <c r="AJ45" i="4" s="1"/>
  <c r="AI44" i="4"/>
  <c r="AJ44" i="4" s="1"/>
  <c r="AI43" i="4"/>
  <c r="AJ43" i="4" s="1"/>
  <c r="AI42" i="4"/>
  <c r="AJ42" i="4" s="1"/>
  <c r="AI41" i="4"/>
  <c r="AJ41" i="4" s="1"/>
  <c r="AI40" i="4"/>
  <c r="AJ40" i="4" s="1"/>
  <c r="AI39" i="4"/>
  <c r="AJ39" i="4" s="1"/>
  <c r="AI38" i="4"/>
  <c r="AJ38" i="4" s="1"/>
  <c r="AI37" i="4"/>
  <c r="AJ37" i="4" s="1"/>
  <c r="AI36" i="4"/>
  <c r="AJ36" i="4" s="1"/>
  <c r="AI35" i="4"/>
  <c r="AJ35" i="4" s="1"/>
  <c r="AI34" i="4"/>
  <c r="AJ34" i="4" s="1"/>
  <c r="AI33" i="4"/>
  <c r="AJ33" i="4" s="1"/>
  <c r="AI32" i="4"/>
  <c r="AJ32" i="4" s="1"/>
  <c r="AI31" i="4"/>
  <c r="AJ31" i="4" s="1"/>
  <c r="AI30" i="4"/>
  <c r="AJ30" i="4" s="1"/>
  <c r="AI29" i="4"/>
  <c r="AJ29" i="4" s="1"/>
  <c r="AI28" i="4"/>
  <c r="AJ28" i="4" s="1"/>
  <c r="AI27" i="4"/>
  <c r="AJ27" i="4" s="1"/>
  <c r="AI26" i="4"/>
  <c r="AJ26" i="4" s="1"/>
  <c r="AI25" i="4"/>
  <c r="AJ25" i="4" s="1"/>
  <c r="AI24" i="4"/>
  <c r="AJ24" i="4" s="1"/>
  <c r="AI23" i="4"/>
  <c r="AJ23" i="4" s="1"/>
  <c r="AI22" i="4"/>
  <c r="AJ22" i="4" s="1"/>
  <c r="AI21" i="4"/>
  <c r="AJ21" i="4" s="1"/>
  <c r="AI20" i="4"/>
  <c r="AJ20" i="4" s="1"/>
  <c r="AI19" i="4"/>
  <c r="AJ19" i="4" s="1"/>
  <c r="AI18" i="4"/>
  <c r="AJ18" i="4" s="1"/>
  <c r="AI17" i="4"/>
  <c r="AJ17" i="4" s="1"/>
  <c r="AI16" i="4"/>
  <c r="AJ16" i="4" s="1"/>
  <c r="AI15" i="4"/>
  <c r="AJ15" i="4" s="1"/>
  <c r="AI14" i="4"/>
  <c r="AJ14" i="4" s="1"/>
  <c r="Z160" i="4"/>
  <c r="AA160" i="4" s="1"/>
  <c r="Z159" i="4"/>
  <c r="AA159" i="4" s="1"/>
  <c r="Z158" i="4"/>
  <c r="AA158" i="4" s="1"/>
  <c r="Z157" i="4"/>
  <c r="AA157" i="4" s="1"/>
  <c r="Z156" i="4"/>
  <c r="AA156" i="4" s="1"/>
  <c r="Z155" i="4"/>
  <c r="AA155" i="4" s="1"/>
  <c r="Z154" i="4"/>
  <c r="AA154" i="4" s="1"/>
  <c r="Z153" i="4"/>
  <c r="AA153" i="4" s="1"/>
  <c r="Z152" i="4"/>
  <c r="AA152" i="4" s="1"/>
  <c r="Z151" i="4"/>
  <c r="AA151" i="4" s="1"/>
  <c r="Z150" i="4"/>
  <c r="AA150" i="4" s="1"/>
  <c r="Z149" i="4"/>
  <c r="AA149" i="4" s="1"/>
  <c r="Z148" i="4"/>
  <c r="AA148" i="4" s="1"/>
  <c r="Z147" i="4"/>
  <c r="AA147" i="4" s="1"/>
  <c r="Z146" i="4"/>
  <c r="AA146" i="4" s="1"/>
  <c r="Z145" i="4"/>
  <c r="AA145" i="4" s="1"/>
  <c r="Z144" i="4"/>
  <c r="AA144" i="4" s="1"/>
  <c r="Z143" i="4"/>
  <c r="AA143" i="4" s="1"/>
  <c r="Z142" i="4"/>
  <c r="AA142" i="4" s="1"/>
  <c r="Z141" i="4"/>
  <c r="AA141" i="4" s="1"/>
  <c r="Z140" i="4"/>
  <c r="AA140" i="4" s="1"/>
  <c r="Z139" i="4"/>
  <c r="AA139" i="4" s="1"/>
  <c r="Z138" i="4"/>
  <c r="AA138" i="4" s="1"/>
  <c r="Z137" i="4"/>
  <c r="AA137" i="4" s="1"/>
  <c r="Z136" i="4"/>
  <c r="AA136" i="4" s="1"/>
  <c r="Z135" i="4"/>
  <c r="AA135" i="4" s="1"/>
  <c r="Z134" i="4"/>
  <c r="AA134" i="4" s="1"/>
  <c r="Z133" i="4"/>
  <c r="AA133" i="4" s="1"/>
  <c r="Z132" i="4"/>
  <c r="AA132" i="4" s="1"/>
  <c r="Z131" i="4"/>
  <c r="AA131" i="4" s="1"/>
  <c r="Z130" i="4"/>
  <c r="AA130" i="4" s="1"/>
  <c r="Z129" i="4"/>
  <c r="AA129" i="4" s="1"/>
  <c r="Z128" i="4"/>
  <c r="AA128" i="4" s="1"/>
  <c r="Z127" i="4"/>
  <c r="AA127" i="4" s="1"/>
  <c r="Z126" i="4"/>
  <c r="AA126" i="4" s="1"/>
  <c r="Z125" i="4"/>
  <c r="AA125" i="4" s="1"/>
  <c r="Z124" i="4"/>
  <c r="AA124" i="4" s="1"/>
  <c r="Z123" i="4"/>
  <c r="AA123" i="4" s="1"/>
  <c r="Z122" i="4"/>
  <c r="AA122" i="4" s="1"/>
  <c r="Z121" i="4"/>
  <c r="AA121" i="4" s="1"/>
  <c r="Z120" i="4"/>
  <c r="AA120" i="4" s="1"/>
  <c r="Z119" i="4"/>
  <c r="AA119" i="4" s="1"/>
  <c r="Z118" i="4"/>
  <c r="AA118" i="4" s="1"/>
  <c r="Z117" i="4"/>
  <c r="AA117" i="4" s="1"/>
  <c r="Z116" i="4"/>
  <c r="AA116" i="4" s="1"/>
  <c r="Z115" i="4"/>
  <c r="AA115" i="4" s="1"/>
  <c r="Z114" i="4"/>
  <c r="AA114" i="4" s="1"/>
  <c r="Z113" i="4"/>
  <c r="AA113" i="4" s="1"/>
  <c r="Z112" i="4"/>
  <c r="AA112" i="4" s="1"/>
  <c r="Z111" i="4"/>
  <c r="AA111" i="4" s="1"/>
  <c r="Z110" i="4"/>
  <c r="AA110" i="4" s="1"/>
  <c r="Z109" i="4"/>
  <c r="AA109" i="4" s="1"/>
  <c r="Z108" i="4"/>
  <c r="AA108" i="4" s="1"/>
  <c r="Z107" i="4"/>
  <c r="AA107" i="4" s="1"/>
  <c r="Z106" i="4"/>
  <c r="AA106" i="4" s="1"/>
  <c r="Z105" i="4"/>
  <c r="AA105" i="4" s="1"/>
  <c r="Z104" i="4"/>
  <c r="AA104" i="4" s="1"/>
  <c r="Z103" i="4"/>
  <c r="AA103" i="4" s="1"/>
  <c r="Z102" i="4"/>
  <c r="AA102" i="4" s="1"/>
  <c r="Z101" i="4"/>
  <c r="AA101" i="4" s="1"/>
  <c r="Z100" i="4"/>
  <c r="AA100" i="4" s="1"/>
  <c r="Z99" i="4"/>
  <c r="AA99" i="4" s="1"/>
  <c r="Z98" i="4"/>
  <c r="AA98" i="4" s="1"/>
  <c r="Z97" i="4"/>
  <c r="AA97" i="4" s="1"/>
  <c r="Z96" i="4"/>
  <c r="AA96" i="4" s="1"/>
  <c r="Z95" i="4"/>
  <c r="AA95" i="4" s="1"/>
  <c r="Z94" i="4"/>
  <c r="AA94" i="4" s="1"/>
  <c r="Z93" i="4"/>
  <c r="AA93" i="4" s="1"/>
  <c r="Z92" i="4"/>
  <c r="AA92" i="4" s="1"/>
  <c r="Z91" i="4"/>
  <c r="AA91" i="4" s="1"/>
  <c r="Z90" i="4"/>
  <c r="AA90" i="4" s="1"/>
  <c r="Z89" i="4"/>
  <c r="AA89" i="4" s="1"/>
  <c r="Z88" i="4"/>
  <c r="AA88" i="4" s="1"/>
  <c r="Z87" i="4"/>
  <c r="AA87" i="4" s="1"/>
  <c r="Z86" i="4"/>
  <c r="AA86" i="4" s="1"/>
  <c r="Z85" i="4"/>
  <c r="AA85" i="4" s="1"/>
  <c r="Z84" i="4"/>
  <c r="AA84" i="4" s="1"/>
  <c r="Z83" i="4"/>
  <c r="AA83" i="4" s="1"/>
  <c r="Z82" i="4"/>
  <c r="AA82" i="4" s="1"/>
  <c r="Z81" i="4"/>
  <c r="AA81" i="4" s="1"/>
  <c r="Z80" i="4"/>
  <c r="AA80" i="4" s="1"/>
  <c r="Z79" i="4"/>
  <c r="AA79" i="4" s="1"/>
  <c r="Z78" i="4"/>
  <c r="AA78" i="4" s="1"/>
  <c r="Z77" i="4"/>
  <c r="AA77" i="4" s="1"/>
  <c r="Z76" i="4"/>
  <c r="AA76" i="4" s="1"/>
  <c r="Z75" i="4"/>
  <c r="AA75" i="4" s="1"/>
  <c r="Z74" i="4"/>
  <c r="AA74" i="4" s="1"/>
  <c r="Z73" i="4"/>
  <c r="AA73" i="4" s="1"/>
  <c r="Z72" i="4"/>
  <c r="AA72" i="4" s="1"/>
  <c r="Z71" i="4"/>
  <c r="AA71" i="4" s="1"/>
  <c r="Z70" i="4"/>
  <c r="AA70" i="4" s="1"/>
  <c r="Z69" i="4"/>
  <c r="AA69" i="4" s="1"/>
  <c r="Z68" i="4"/>
  <c r="AA68" i="4" s="1"/>
  <c r="Z67" i="4"/>
  <c r="AA67" i="4" s="1"/>
  <c r="Z66" i="4"/>
  <c r="AA66" i="4" s="1"/>
  <c r="Z65" i="4"/>
  <c r="AA65" i="4" s="1"/>
  <c r="Z64" i="4"/>
  <c r="AA64" i="4" s="1"/>
  <c r="Z63" i="4"/>
  <c r="AA63" i="4" s="1"/>
  <c r="Z62" i="4"/>
  <c r="AA62" i="4" s="1"/>
  <c r="Z61" i="4"/>
  <c r="AA61" i="4" s="1"/>
  <c r="Z60" i="4"/>
  <c r="AA60" i="4" s="1"/>
  <c r="Z59" i="4"/>
  <c r="AA59" i="4" s="1"/>
  <c r="Z58" i="4"/>
  <c r="AA58" i="4" s="1"/>
  <c r="Z57" i="4"/>
  <c r="AA57" i="4" s="1"/>
  <c r="Z56" i="4"/>
  <c r="AA56" i="4" s="1"/>
  <c r="Z55" i="4"/>
  <c r="AA55" i="4" s="1"/>
  <c r="Z54" i="4"/>
  <c r="AA54" i="4" s="1"/>
  <c r="Z53" i="4"/>
  <c r="AA53" i="4" s="1"/>
  <c r="Z52" i="4"/>
  <c r="AA52" i="4" s="1"/>
  <c r="Z51" i="4"/>
  <c r="AA51" i="4" s="1"/>
  <c r="Z50" i="4"/>
  <c r="AA50" i="4" s="1"/>
  <c r="Z49" i="4"/>
  <c r="AA49" i="4" s="1"/>
  <c r="Z48" i="4"/>
  <c r="AA48" i="4" s="1"/>
  <c r="Z47" i="4"/>
  <c r="AA47" i="4" s="1"/>
  <c r="Z46" i="4"/>
  <c r="AA46" i="4" s="1"/>
  <c r="Z45" i="4"/>
  <c r="AA45" i="4" s="1"/>
  <c r="Z44" i="4"/>
  <c r="AA44" i="4" s="1"/>
  <c r="Z43" i="4"/>
  <c r="AA43" i="4" s="1"/>
  <c r="Z42" i="4"/>
  <c r="AA42" i="4" s="1"/>
  <c r="Z41" i="4"/>
  <c r="AA41" i="4" s="1"/>
  <c r="Z40" i="4"/>
  <c r="AA40" i="4" s="1"/>
  <c r="Z39" i="4"/>
  <c r="AA39" i="4" s="1"/>
  <c r="Z38" i="4"/>
  <c r="AA38" i="4" s="1"/>
  <c r="Z37" i="4"/>
  <c r="AA37" i="4" s="1"/>
  <c r="Z36" i="4"/>
  <c r="AA36" i="4" s="1"/>
  <c r="Z35" i="4"/>
  <c r="AA35" i="4" s="1"/>
  <c r="Z34" i="4"/>
  <c r="AA34" i="4" s="1"/>
  <c r="Z33" i="4"/>
  <c r="AA33" i="4" s="1"/>
  <c r="Z32" i="4"/>
  <c r="AA32" i="4" s="1"/>
  <c r="Z31" i="4"/>
  <c r="AA31" i="4" s="1"/>
  <c r="Z30" i="4"/>
  <c r="AA30" i="4" s="1"/>
  <c r="Z29" i="4"/>
  <c r="AA29" i="4" s="1"/>
  <c r="Z28" i="4"/>
  <c r="AA28" i="4" s="1"/>
  <c r="Z27" i="4"/>
  <c r="AA27" i="4" s="1"/>
  <c r="Z26" i="4"/>
  <c r="AA26" i="4" s="1"/>
  <c r="Z25" i="4"/>
  <c r="AA25" i="4" s="1"/>
  <c r="Z24" i="4"/>
  <c r="AA24" i="4" s="1"/>
  <c r="Z23" i="4"/>
  <c r="AA23" i="4" s="1"/>
  <c r="Z22" i="4"/>
  <c r="AA22" i="4" s="1"/>
  <c r="Z21" i="4"/>
  <c r="AA21" i="4" s="1"/>
  <c r="Z20" i="4"/>
  <c r="AA20" i="4" s="1"/>
  <c r="Z19" i="4"/>
  <c r="AA19" i="4" s="1"/>
  <c r="Z18" i="4"/>
  <c r="AA18" i="4" s="1"/>
  <c r="Z17" i="4"/>
  <c r="AA17" i="4" s="1"/>
  <c r="Z16" i="4"/>
  <c r="AA16" i="4" s="1"/>
  <c r="Z15" i="4"/>
  <c r="AA15" i="4" s="1"/>
  <c r="Z14" i="4"/>
  <c r="AA14" i="4" s="1"/>
  <c r="AR13" i="4"/>
  <c r="AS13" i="4" s="1"/>
  <c r="AI13" i="4"/>
  <c r="AJ13" i="4" s="1"/>
  <c r="Z13" i="4"/>
  <c r="AA13" i="4" s="1"/>
  <c r="Q247" i="4"/>
  <c r="R247" i="4" s="1"/>
  <c r="Q246" i="4"/>
  <c r="R246" i="4" s="1"/>
  <c r="Q245" i="4"/>
  <c r="R245" i="4" s="1"/>
  <c r="Q244" i="4"/>
  <c r="R244" i="4" s="1"/>
  <c r="Q243" i="4"/>
  <c r="R243" i="4" s="1"/>
  <c r="Q242" i="4"/>
  <c r="R242" i="4" s="1"/>
  <c r="Q241" i="4"/>
  <c r="R241" i="4" s="1"/>
  <c r="Q240" i="4"/>
  <c r="R240" i="4" s="1"/>
  <c r="Q239" i="4"/>
  <c r="R239" i="4" s="1"/>
  <c r="Q238" i="4"/>
  <c r="R238" i="4" s="1"/>
  <c r="Q237" i="4"/>
  <c r="R237" i="4" s="1"/>
  <c r="Q236" i="4"/>
  <c r="R236" i="4" s="1"/>
  <c r="Q235" i="4"/>
  <c r="R235" i="4" s="1"/>
  <c r="Q234" i="4"/>
  <c r="R234" i="4" s="1"/>
  <c r="Q233" i="4"/>
  <c r="R233" i="4" s="1"/>
  <c r="Q232" i="4"/>
  <c r="R232" i="4" s="1"/>
  <c r="Q231" i="4"/>
  <c r="R231" i="4" s="1"/>
  <c r="Q230" i="4"/>
  <c r="R230" i="4" s="1"/>
  <c r="Q229" i="4"/>
  <c r="R229" i="4" s="1"/>
  <c r="Q228" i="4"/>
  <c r="R228" i="4" s="1"/>
  <c r="Q227" i="4"/>
  <c r="R227" i="4" s="1"/>
  <c r="Q226" i="4"/>
  <c r="R226" i="4" s="1"/>
  <c r="Q225" i="4"/>
  <c r="R225" i="4" s="1"/>
  <c r="Q224" i="4"/>
  <c r="R224" i="4" s="1"/>
  <c r="Q223" i="4"/>
  <c r="R223" i="4" s="1"/>
  <c r="Q222" i="4"/>
  <c r="R222" i="4" s="1"/>
  <c r="Q221" i="4"/>
  <c r="R221" i="4" s="1"/>
  <c r="Q220" i="4"/>
  <c r="R220" i="4" s="1"/>
  <c r="Q219" i="4"/>
  <c r="R219" i="4" s="1"/>
  <c r="Q218" i="4"/>
  <c r="R218" i="4" s="1"/>
  <c r="Q217" i="4"/>
  <c r="R217" i="4" s="1"/>
  <c r="Q216" i="4"/>
  <c r="R216" i="4" s="1"/>
  <c r="Q215" i="4"/>
  <c r="R215" i="4" s="1"/>
  <c r="Q214" i="4"/>
  <c r="R214" i="4" s="1"/>
  <c r="Q213" i="4"/>
  <c r="R213" i="4" s="1"/>
  <c r="Q212" i="4"/>
  <c r="R212" i="4" s="1"/>
  <c r="Q211" i="4"/>
  <c r="R211" i="4" s="1"/>
  <c r="Q210" i="4"/>
  <c r="R210" i="4" s="1"/>
  <c r="Q209" i="4"/>
  <c r="R209" i="4" s="1"/>
  <c r="Q208" i="4"/>
  <c r="R208" i="4" s="1"/>
  <c r="Q207" i="4"/>
  <c r="R207" i="4" s="1"/>
  <c r="Q206" i="4"/>
  <c r="R206" i="4" s="1"/>
  <c r="Q205" i="4"/>
  <c r="R205" i="4" s="1"/>
  <c r="Q204" i="4"/>
  <c r="R204" i="4" s="1"/>
  <c r="Q203" i="4"/>
  <c r="R203" i="4" s="1"/>
  <c r="Q202" i="4"/>
  <c r="R202" i="4" s="1"/>
  <c r="Q201" i="4"/>
  <c r="R201" i="4" s="1"/>
  <c r="Q200" i="4"/>
  <c r="R200" i="4" s="1"/>
  <c r="Q199" i="4"/>
  <c r="R199" i="4" s="1"/>
  <c r="Q198" i="4"/>
  <c r="R198" i="4" s="1"/>
  <c r="Q197" i="4"/>
  <c r="R197" i="4" s="1"/>
  <c r="Q196" i="4"/>
  <c r="R196" i="4" s="1"/>
  <c r="Q195" i="4"/>
  <c r="R195" i="4" s="1"/>
  <c r="Q194" i="4"/>
  <c r="R194" i="4" s="1"/>
  <c r="Q193" i="4"/>
  <c r="R193" i="4" s="1"/>
  <c r="Q192" i="4"/>
  <c r="R192" i="4" s="1"/>
  <c r="Q191" i="4"/>
  <c r="R191" i="4" s="1"/>
  <c r="Q190" i="4"/>
  <c r="R190" i="4" s="1"/>
  <c r="Q189" i="4"/>
  <c r="R189" i="4" s="1"/>
  <c r="Q188" i="4"/>
  <c r="R188" i="4" s="1"/>
  <c r="Q187" i="4"/>
  <c r="R187" i="4" s="1"/>
  <c r="Q186" i="4"/>
  <c r="R186" i="4" s="1"/>
  <c r="Q185" i="4"/>
  <c r="R185" i="4" s="1"/>
  <c r="Q184" i="4"/>
  <c r="R184" i="4" s="1"/>
  <c r="Q183" i="4"/>
  <c r="R183" i="4" s="1"/>
  <c r="Q182" i="4"/>
  <c r="R182" i="4" s="1"/>
  <c r="Q181" i="4"/>
  <c r="R181" i="4" s="1"/>
  <c r="Q180" i="4"/>
  <c r="R180" i="4" s="1"/>
  <c r="Q179" i="4"/>
  <c r="R179" i="4" s="1"/>
  <c r="Q178" i="4"/>
  <c r="R178" i="4" s="1"/>
  <c r="Q177" i="4"/>
  <c r="R177" i="4" s="1"/>
  <c r="Q176" i="4"/>
  <c r="R176" i="4" s="1"/>
  <c r="Q175" i="4"/>
  <c r="R175" i="4" s="1"/>
  <c r="Q174" i="4"/>
  <c r="R174" i="4" s="1"/>
  <c r="Q173" i="4"/>
  <c r="R173" i="4" s="1"/>
  <c r="Q172" i="4"/>
  <c r="R172" i="4" s="1"/>
  <c r="Q171" i="4"/>
  <c r="R171" i="4" s="1"/>
  <c r="Q170" i="4"/>
  <c r="R170" i="4" s="1"/>
  <c r="Q169" i="4"/>
  <c r="R169" i="4" s="1"/>
  <c r="Q168" i="4"/>
  <c r="R168" i="4" s="1"/>
  <c r="Q167" i="4"/>
  <c r="R167" i="4" s="1"/>
  <c r="Q166" i="4"/>
  <c r="R166" i="4" s="1"/>
  <c r="Q165" i="4"/>
  <c r="R165" i="4" s="1"/>
  <c r="Q164" i="4"/>
  <c r="R164" i="4" s="1"/>
  <c r="Q163" i="4"/>
  <c r="R163" i="4" s="1"/>
  <c r="Q162" i="4"/>
  <c r="R162" i="4" s="1"/>
  <c r="Q161" i="4"/>
  <c r="R161" i="4" s="1"/>
  <c r="Q160" i="4"/>
  <c r="R160" i="4" s="1"/>
  <c r="Q159" i="4"/>
  <c r="R159" i="4" s="1"/>
  <c r="Q158" i="4"/>
  <c r="R158" i="4" s="1"/>
  <c r="Q157" i="4"/>
  <c r="R157" i="4" s="1"/>
  <c r="Q156" i="4"/>
  <c r="R156" i="4" s="1"/>
  <c r="Q155" i="4"/>
  <c r="R155" i="4" s="1"/>
  <c r="Q154" i="4"/>
  <c r="R154" i="4" s="1"/>
  <c r="Q153" i="4"/>
  <c r="R153" i="4" s="1"/>
  <c r="Q152" i="4"/>
  <c r="R152" i="4" s="1"/>
  <c r="Q151" i="4"/>
  <c r="R151" i="4" s="1"/>
  <c r="Q150" i="4"/>
  <c r="R150" i="4" s="1"/>
  <c r="Q149" i="4"/>
  <c r="R149" i="4" s="1"/>
  <c r="Q148" i="4"/>
  <c r="R148" i="4" s="1"/>
  <c r="Q147" i="4"/>
  <c r="R147" i="4" s="1"/>
  <c r="Q146" i="4"/>
  <c r="R146" i="4" s="1"/>
  <c r="Q145" i="4"/>
  <c r="R145" i="4" s="1"/>
  <c r="Q144" i="4"/>
  <c r="R144" i="4" s="1"/>
  <c r="Q143" i="4"/>
  <c r="R143" i="4" s="1"/>
  <c r="Q142" i="4"/>
  <c r="R142" i="4" s="1"/>
  <c r="Q141" i="4"/>
  <c r="R141" i="4" s="1"/>
  <c r="Q140" i="4"/>
  <c r="R140" i="4" s="1"/>
  <c r="Q139" i="4"/>
  <c r="R139" i="4" s="1"/>
  <c r="Q138" i="4"/>
  <c r="R138" i="4" s="1"/>
  <c r="Q137" i="4"/>
  <c r="R137" i="4" s="1"/>
  <c r="Q136" i="4"/>
  <c r="R136" i="4" s="1"/>
  <c r="Q135" i="4"/>
  <c r="R135" i="4" s="1"/>
  <c r="Q134" i="4"/>
  <c r="R134" i="4" s="1"/>
  <c r="Q133" i="4"/>
  <c r="R133" i="4" s="1"/>
  <c r="Q132" i="4"/>
  <c r="R132" i="4" s="1"/>
  <c r="Q131" i="4"/>
  <c r="R131" i="4" s="1"/>
  <c r="Q130" i="4"/>
  <c r="R130" i="4" s="1"/>
  <c r="Q129" i="4"/>
  <c r="R129" i="4" s="1"/>
  <c r="Q128" i="4"/>
  <c r="R128" i="4" s="1"/>
  <c r="Q127" i="4"/>
  <c r="R127" i="4" s="1"/>
  <c r="Q126" i="4"/>
  <c r="R126" i="4" s="1"/>
  <c r="Q125" i="4"/>
  <c r="R125" i="4" s="1"/>
  <c r="Q124" i="4"/>
  <c r="R124" i="4" s="1"/>
  <c r="Q123" i="4"/>
  <c r="R123" i="4" s="1"/>
  <c r="Q122" i="4"/>
  <c r="R122" i="4" s="1"/>
  <c r="Q121" i="4"/>
  <c r="R121" i="4" s="1"/>
  <c r="Q120" i="4"/>
  <c r="R120" i="4" s="1"/>
  <c r="Q119" i="4"/>
  <c r="R119" i="4" s="1"/>
  <c r="Q118" i="4"/>
  <c r="R118" i="4" s="1"/>
  <c r="Q117" i="4"/>
  <c r="R117" i="4" s="1"/>
  <c r="Q116" i="4"/>
  <c r="R116" i="4" s="1"/>
  <c r="Q115" i="4"/>
  <c r="R115" i="4" s="1"/>
  <c r="Q114" i="4"/>
  <c r="R114" i="4" s="1"/>
  <c r="Q113" i="4"/>
  <c r="R113" i="4" s="1"/>
  <c r="Q112" i="4"/>
  <c r="R112" i="4" s="1"/>
  <c r="Q111" i="4"/>
  <c r="R111" i="4" s="1"/>
  <c r="Q110" i="4"/>
  <c r="R110" i="4" s="1"/>
  <c r="Q109" i="4"/>
  <c r="R109" i="4" s="1"/>
  <c r="Q108" i="4"/>
  <c r="R108" i="4" s="1"/>
  <c r="Q107" i="4"/>
  <c r="R107" i="4" s="1"/>
  <c r="Q106" i="4"/>
  <c r="R106" i="4" s="1"/>
  <c r="Q105" i="4"/>
  <c r="R105" i="4" s="1"/>
  <c r="Q104" i="4"/>
  <c r="R104" i="4" s="1"/>
  <c r="Q103" i="4"/>
  <c r="R103" i="4" s="1"/>
  <c r="Q102" i="4"/>
  <c r="R102" i="4" s="1"/>
  <c r="Q101" i="4"/>
  <c r="R101" i="4" s="1"/>
  <c r="Q100" i="4"/>
  <c r="R100" i="4" s="1"/>
  <c r="Q99" i="4"/>
  <c r="R99" i="4" s="1"/>
  <c r="Q98" i="4"/>
  <c r="R98" i="4" s="1"/>
  <c r="Q97" i="4"/>
  <c r="R97" i="4" s="1"/>
  <c r="Q96" i="4"/>
  <c r="R96" i="4" s="1"/>
  <c r="Q95" i="4"/>
  <c r="R95" i="4" s="1"/>
  <c r="Q94" i="4"/>
  <c r="R94" i="4" s="1"/>
  <c r="Q93" i="4"/>
  <c r="R93" i="4" s="1"/>
  <c r="Q92" i="4"/>
  <c r="R92" i="4" s="1"/>
  <c r="Q91" i="4"/>
  <c r="R91" i="4" s="1"/>
  <c r="Q90" i="4"/>
  <c r="R90" i="4" s="1"/>
  <c r="Q89" i="4"/>
  <c r="R89" i="4" s="1"/>
  <c r="Q88" i="4"/>
  <c r="R88" i="4" s="1"/>
  <c r="Q87" i="4"/>
  <c r="R87" i="4" s="1"/>
  <c r="Q86" i="4"/>
  <c r="R86" i="4" s="1"/>
  <c r="Q85" i="4"/>
  <c r="R85" i="4" s="1"/>
  <c r="Q84" i="4"/>
  <c r="R84" i="4" s="1"/>
  <c r="Q83" i="4"/>
  <c r="R83" i="4" s="1"/>
  <c r="Q82" i="4"/>
  <c r="R82" i="4" s="1"/>
  <c r="Q81" i="4"/>
  <c r="R81" i="4" s="1"/>
  <c r="Q80" i="4"/>
  <c r="R80" i="4" s="1"/>
  <c r="Q79" i="4"/>
  <c r="R79" i="4" s="1"/>
  <c r="Q78" i="4"/>
  <c r="R78" i="4" s="1"/>
  <c r="Q77" i="4"/>
  <c r="R77" i="4" s="1"/>
  <c r="Q76" i="4"/>
  <c r="R76" i="4" s="1"/>
  <c r="Q75" i="4"/>
  <c r="R75" i="4" s="1"/>
  <c r="Q74" i="4"/>
  <c r="R74" i="4" s="1"/>
  <c r="Q73" i="4"/>
  <c r="R73" i="4" s="1"/>
  <c r="Q72" i="4"/>
  <c r="R72" i="4" s="1"/>
  <c r="Q71" i="4"/>
  <c r="R71" i="4" s="1"/>
  <c r="Q70" i="4"/>
  <c r="R70" i="4" s="1"/>
  <c r="Q69" i="4"/>
  <c r="R69" i="4" s="1"/>
  <c r="Q68" i="4"/>
  <c r="R68" i="4" s="1"/>
  <c r="Q67" i="4"/>
  <c r="R67" i="4" s="1"/>
  <c r="Q66" i="4"/>
  <c r="R66" i="4" s="1"/>
  <c r="Q65" i="4"/>
  <c r="R65" i="4" s="1"/>
  <c r="Q64" i="4"/>
  <c r="R64" i="4" s="1"/>
  <c r="Q63" i="4"/>
  <c r="R63" i="4" s="1"/>
  <c r="Q62" i="4"/>
  <c r="R62" i="4" s="1"/>
  <c r="Q61" i="4"/>
  <c r="R61" i="4" s="1"/>
  <c r="Q60" i="4"/>
  <c r="R60" i="4" s="1"/>
  <c r="Q59" i="4"/>
  <c r="R59" i="4" s="1"/>
  <c r="Q58" i="4"/>
  <c r="R58" i="4" s="1"/>
  <c r="Q57" i="4"/>
  <c r="R57" i="4" s="1"/>
  <c r="Q56" i="4"/>
  <c r="R56" i="4" s="1"/>
  <c r="Q55" i="4"/>
  <c r="R55" i="4" s="1"/>
  <c r="Q54" i="4"/>
  <c r="R54" i="4" s="1"/>
  <c r="Q53" i="4"/>
  <c r="R53" i="4" s="1"/>
  <c r="Q52" i="4"/>
  <c r="R52" i="4" s="1"/>
  <c r="Q51" i="4"/>
  <c r="R51" i="4" s="1"/>
  <c r="Q50" i="4"/>
  <c r="R50" i="4" s="1"/>
  <c r="Q49" i="4"/>
  <c r="R49" i="4" s="1"/>
  <c r="Q48" i="4"/>
  <c r="R48" i="4" s="1"/>
  <c r="Q47" i="4"/>
  <c r="R47" i="4" s="1"/>
  <c r="Q46" i="4"/>
  <c r="R46" i="4" s="1"/>
  <c r="Q45" i="4"/>
  <c r="R45" i="4" s="1"/>
  <c r="Q44" i="4"/>
  <c r="R44" i="4" s="1"/>
  <c r="Q43" i="4"/>
  <c r="R43" i="4" s="1"/>
  <c r="Q42" i="4"/>
  <c r="R42" i="4" s="1"/>
  <c r="Q41" i="4"/>
  <c r="R41" i="4" s="1"/>
  <c r="Q40" i="4"/>
  <c r="R40" i="4" s="1"/>
  <c r="Q39" i="4"/>
  <c r="R39" i="4" s="1"/>
  <c r="Q38" i="4"/>
  <c r="R38" i="4" s="1"/>
  <c r="Q37" i="4"/>
  <c r="R37" i="4" s="1"/>
  <c r="Q36" i="4"/>
  <c r="R36" i="4" s="1"/>
  <c r="Q35" i="4"/>
  <c r="R35" i="4" s="1"/>
  <c r="Q34" i="4"/>
  <c r="R34" i="4" s="1"/>
  <c r="Q33" i="4"/>
  <c r="R33" i="4" s="1"/>
  <c r="Q32" i="4"/>
  <c r="R32" i="4" s="1"/>
  <c r="Q31" i="4"/>
  <c r="R31" i="4" s="1"/>
  <c r="Q30" i="4"/>
  <c r="R30" i="4" s="1"/>
  <c r="Q29" i="4"/>
  <c r="R29" i="4" s="1"/>
  <c r="Q28" i="4"/>
  <c r="R28" i="4" s="1"/>
  <c r="Q27" i="4"/>
  <c r="R27" i="4" s="1"/>
  <c r="Q26" i="4"/>
  <c r="R26" i="4" s="1"/>
  <c r="Q25" i="4"/>
  <c r="R25" i="4" s="1"/>
  <c r="Q24" i="4"/>
  <c r="R24" i="4" s="1"/>
  <c r="Q23" i="4"/>
  <c r="R23" i="4" s="1"/>
  <c r="Q22" i="4"/>
  <c r="R22" i="4" s="1"/>
  <c r="Q21" i="4"/>
  <c r="R21" i="4" s="1"/>
  <c r="Q20" i="4"/>
  <c r="R20" i="4" s="1"/>
  <c r="Q19" i="4"/>
  <c r="R19" i="4" s="1"/>
  <c r="Q18" i="4"/>
  <c r="R18" i="4" s="1"/>
  <c r="Q17" i="4"/>
  <c r="R17" i="4" s="1"/>
  <c r="Q16" i="4"/>
  <c r="R16" i="4" s="1"/>
  <c r="Q15" i="4"/>
  <c r="R15" i="4" s="1"/>
  <c r="Q14" i="4"/>
  <c r="R14" i="4" s="1"/>
  <c r="Q13" i="4"/>
  <c r="R13" i="4" s="1"/>
  <c r="M6" i="4" s="1"/>
  <c r="H312" i="4"/>
  <c r="I312" i="4" s="1"/>
  <c r="H311" i="4"/>
  <c r="I311" i="4" s="1"/>
  <c r="H310" i="4"/>
  <c r="I310" i="4" s="1"/>
  <c r="H309" i="4"/>
  <c r="I309" i="4" s="1"/>
  <c r="H308" i="4"/>
  <c r="I308" i="4" s="1"/>
  <c r="H307" i="4"/>
  <c r="I307" i="4" s="1"/>
  <c r="H306" i="4"/>
  <c r="I306" i="4" s="1"/>
  <c r="H305" i="4"/>
  <c r="I305" i="4" s="1"/>
  <c r="H304" i="4"/>
  <c r="I304" i="4" s="1"/>
  <c r="H303" i="4"/>
  <c r="I303" i="4" s="1"/>
  <c r="H302" i="4"/>
  <c r="I302" i="4" s="1"/>
  <c r="H301" i="4"/>
  <c r="I301" i="4" s="1"/>
  <c r="H300" i="4"/>
  <c r="I300" i="4" s="1"/>
  <c r="H299" i="4"/>
  <c r="I299" i="4" s="1"/>
  <c r="H298" i="4"/>
  <c r="I298" i="4" s="1"/>
  <c r="H297" i="4"/>
  <c r="I297" i="4" s="1"/>
  <c r="H296" i="4"/>
  <c r="I296" i="4" s="1"/>
  <c r="H295" i="4"/>
  <c r="I295" i="4" s="1"/>
  <c r="H294" i="4"/>
  <c r="I294" i="4" s="1"/>
  <c r="H293" i="4"/>
  <c r="I293" i="4" s="1"/>
  <c r="H292" i="4"/>
  <c r="I292" i="4" s="1"/>
  <c r="H291" i="4"/>
  <c r="I291" i="4" s="1"/>
  <c r="H290" i="4"/>
  <c r="I290" i="4" s="1"/>
  <c r="H289" i="4"/>
  <c r="I289" i="4" s="1"/>
  <c r="H288" i="4"/>
  <c r="I288" i="4" s="1"/>
  <c r="H287" i="4"/>
  <c r="I287" i="4" s="1"/>
  <c r="H286" i="4"/>
  <c r="I286" i="4" s="1"/>
  <c r="H285" i="4"/>
  <c r="I285" i="4" s="1"/>
  <c r="H284" i="4"/>
  <c r="I284" i="4" s="1"/>
  <c r="H283" i="4"/>
  <c r="I283" i="4" s="1"/>
  <c r="H282" i="4"/>
  <c r="I282" i="4" s="1"/>
  <c r="H281" i="4"/>
  <c r="I281" i="4" s="1"/>
  <c r="H280" i="4"/>
  <c r="I280" i="4" s="1"/>
  <c r="H279" i="4"/>
  <c r="I279" i="4" s="1"/>
  <c r="H278" i="4"/>
  <c r="I278" i="4" s="1"/>
  <c r="H277" i="4"/>
  <c r="I277" i="4" s="1"/>
  <c r="H276" i="4"/>
  <c r="I276" i="4" s="1"/>
  <c r="H275" i="4"/>
  <c r="I275" i="4" s="1"/>
  <c r="H274" i="4"/>
  <c r="I274" i="4" s="1"/>
  <c r="H273" i="4"/>
  <c r="I273" i="4" s="1"/>
  <c r="H272" i="4"/>
  <c r="I272" i="4" s="1"/>
  <c r="H271" i="4"/>
  <c r="I271" i="4" s="1"/>
  <c r="H270" i="4"/>
  <c r="I270" i="4" s="1"/>
  <c r="H269" i="4"/>
  <c r="I269" i="4" s="1"/>
  <c r="H268" i="4"/>
  <c r="I268" i="4" s="1"/>
  <c r="H267" i="4"/>
  <c r="I267" i="4" s="1"/>
  <c r="H266" i="4"/>
  <c r="I266" i="4" s="1"/>
  <c r="H265" i="4"/>
  <c r="I265" i="4" s="1"/>
  <c r="H264" i="4"/>
  <c r="I264" i="4" s="1"/>
  <c r="H263" i="4"/>
  <c r="I263" i="4" s="1"/>
  <c r="H262" i="4"/>
  <c r="I262" i="4" s="1"/>
  <c r="H261" i="4"/>
  <c r="I261" i="4" s="1"/>
  <c r="H260" i="4"/>
  <c r="I260" i="4" s="1"/>
  <c r="H259" i="4"/>
  <c r="I259" i="4" s="1"/>
  <c r="H258" i="4"/>
  <c r="I258" i="4" s="1"/>
  <c r="H257" i="4"/>
  <c r="I257" i="4" s="1"/>
  <c r="H256" i="4"/>
  <c r="I256" i="4" s="1"/>
  <c r="H255" i="4"/>
  <c r="I255" i="4" s="1"/>
  <c r="H254" i="4"/>
  <c r="I254" i="4" s="1"/>
  <c r="H253" i="4"/>
  <c r="I253" i="4" s="1"/>
  <c r="H252" i="4"/>
  <c r="I252" i="4" s="1"/>
  <c r="H251" i="4"/>
  <c r="I251" i="4" s="1"/>
  <c r="H250" i="4"/>
  <c r="I250" i="4" s="1"/>
  <c r="H249" i="4"/>
  <c r="I249" i="4" s="1"/>
  <c r="H248" i="4"/>
  <c r="I248" i="4" s="1"/>
  <c r="H247" i="4"/>
  <c r="I247" i="4" s="1"/>
  <c r="H246" i="4"/>
  <c r="I246" i="4" s="1"/>
  <c r="H245" i="4"/>
  <c r="I245" i="4" s="1"/>
  <c r="H244" i="4"/>
  <c r="I244" i="4" s="1"/>
  <c r="H243" i="4"/>
  <c r="I243" i="4" s="1"/>
  <c r="H242" i="4"/>
  <c r="I242" i="4" s="1"/>
  <c r="H241" i="4"/>
  <c r="I241" i="4" s="1"/>
  <c r="H240" i="4"/>
  <c r="I240" i="4" s="1"/>
  <c r="H239" i="4"/>
  <c r="I239" i="4" s="1"/>
  <c r="H238" i="4"/>
  <c r="I238" i="4" s="1"/>
  <c r="H237" i="4"/>
  <c r="I237" i="4" s="1"/>
  <c r="H236" i="4"/>
  <c r="I236" i="4" s="1"/>
  <c r="H235" i="4"/>
  <c r="I235" i="4" s="1"/>
  <c r="H234" i="4"/>
  <c r="I234" i="4" s="1"/>
  <c r="H233" i="4"/>
  <c r="I233" i="4" s="1"/>
  <c r="H232" i="4"/>
  <c r="I232" i="4" s="1"/>
  <c r="H231" i="4"/>
  <c r="I231" i="4" s="1"/>
  <c r="H230" i="4"/>
  <c r="I230" i="4" s="1"/>
  <c r="H229" i="4"/>
  <c r="I229" i="4" s="1"/>
  <c r="H228" i="4"/>
  <c r="I228" i="4" s="1"/>
  <c r="H227" i="4"/>
  <c r="I227" i="4" s="1"/>
  <c r="H226" i="4"/>
  <c r="I226" i="4" s="1"/>
  <c r="H225" i="4"/>
  <c r="I225" i="4" s="1"/>
  <c r="H224" i="4"/>
  <c r="I224" i="4" s="1"/>
  <c r="H223" i="4"/>
  <c r="I223" i="4" s="1"/>
  <c r="H222" i="4"/>
  <c r="I222" i="4" s="1"/>
  <c r="H221" i="4"/>
  <c r="I221" i="4" s="1"/>
  <c r="H220" i="4"/>
  <c r="I220" i="4" s="1"/>
  <c r="H219" i="4"/>
  <c r="I219" i="4" s="1"/>
  <c r="H218" i="4"/>
  <c r="I218" i="4" s="1"/>
  <c r="H217" i="4"/>
  <c r="I217" i="4" s="1"/>
  <c r="H216" i="4"/>
  <c r="I216" i="4" s="1"/>
  <c r="H215" i="4"/>
  <c r="I215" i="4" s="1"/>
  <c r="H214" i="4"/>
  <c r="I214" i="4" s="1"/>
  <c r="H213" i="4"/>
  <c r="I213" i="4" s="1"/>
  <c r="H212" i="4"/>
  <c r="I212" i="4" s="1"/>
  <c r="H211" i="4"/>
  <c r="I211" i="4" s="1"/>
  <c r="H210" i="4"/>
  <c r="I210" i="4" s="1"/>
  <c r="H209" i="4"/>
  <c r="I209" i="4" s="1"/>
  <c r="H208" i="4"/>
  <c r="I208" i="4" s="1"/>
  <c r="H207" i="4"/>
  <c r="I207" i="4" s="1"/>
  <c r="H206" i="4"/>
  <c r="I206" i="4" s="1"/>
  <c r="H205" i="4"/>
  <c r="I205" i="4" s="1"/>
  <c r="H204" i="4"/>
  <c r="I204" i="4" s="1"/>
  <c r="H203" i="4"/>
  <c r="I203" i="4" s="1"/>
  <c r="H202" i="4"/>
  <c r="I202" i="4" s="1"/>
  <c r="H201" i="4"/>
  <c r="I201" i="4" s="1"/>
  <c r="H200" i="4"/>
  <c r="I200" i="4" s="1"/>
  <c r="H199" i="4"/>
  <c r="I199" i="4" s="1"/>
  <c r="H198" i="4"/>
  <c r="I198" i="4" s="1"/>
  <c r="H197" i="4"/>
  <c r="I197" i="4" s="1"/>
  <c r="H196" i="4"/>
  <c r="I196" i="4" s="1"/>
  <c r="H195" i="4"/>
  <c r="I195" i="4" s="1"/>
  <c r="H194" i="4"/>
  <c r="I194" i="4" s="1"/>
  <c r="H193" i="4"/>
  <c r="I193" i="4" s="1"/>
  <c r="H192" i="4"/>
  <c r="I192" i="4" s="1"/>
  <c r="H191" i="4"/>
  <c r="I191" i="4" s="1"/>
  <c r="H190" i="4"/>
  <c r="I190" i="4" s="1"/>
  <c r="H189" i="4"/>
  <c r="I189" i="4" s="1"/>
  <c r="H188" i="4"/>
  <c r="I188" i="4" s="1"/>
  <c r="H187" i="4"/>
  <c r="I187" i="4" s="1"/>
  <c r="H186" i="4"/>
  <c r="I186" i="4" s="1"/>
  <c r="H185" i="4"/>
  <c r="I185" i="4" s="1"/>
  <c r="H184" i="4"/>
  <c r="I184" i="4" s="1"/>
  <c r="H183" i="4"/>
  <c r="I183" i="4" s="1"/>
  <c r="H182" i="4"/>
  <c r="I182" i="4" s="1"/>
  <c r="H181" i="4"/>
  <c r="I181" i="4" s="1"/>
  <c r="H180" i="4"/>
  <c r="I180" i="4" s="1"/>
  <c r="H179" i="4"/>
  <c r="I179" i="4" s="1"/>
  <c r="H178" i="4"/>
  <c r="I178" i="4" s="1"/>
  <c r="H177" i="4"/>
  <c r="I177" i="4" s="1"/>
  <c r="H176" i="4"/>
  <c r="I176" i="4" s="1"/>
  <c r="H175" i="4"/>
  <c r="I175" i="4" s="1"/>
  <c r="H174" i="4"/>
  <c r="I174" i="4" s="1"/>
  <c r="H173" i="4"/>
  <c r="I173" i="4" s="1"/>
  <c r="H172" i="4"/>
  <c r="I172" i="4" s="1"/>
  <c r="H171" i="4"/>
  <c r="I171" i="4" s="1"/>
  <c r="H170" i="4"/>
  <c r="I170" i="4" s="1"/>
  <c r="H169" i="4"/>
  <c r="I169" i="4" s="1"/>
  <c r="H168" i="4"/>
  <c r="I168" i="4" s="1"/>
  <c r="H167" i="4"/>
  <c r="I167" i="4" s="1"/>
  <c r="H166" i="4"/>
  <c r="I166" i="4" s="1"/>
  <c r="H165" i="4"/>
  <c r="I165" i="4" s="1"/>
  <c r="H164" i="4"/>
  <c r="I164" i="4" s="1"/>
  <c r="H163" i="4"/>
  <c r="I163" i="4" s="1"/>
  <c r="H162" i="4"/>
  <c r="I162" i="4" s="1"/>
  <c r="H161" i="4"/>
  <c r="I161" i="4" s="1"/>
  <c r="H160" i="4"/>
  <c r="I160" i="4" s="1"/>
  <c r="H159" i="4"/>
  <c r="I159" i="4" s="1"/>
  <c r="H158" i="4"/>
  <c r="I158" i="4" s="1"/>
  <c r="H157" i="4"/>
  <c r="I157" i="4" s="1"/>
  <c r="H156" i="4"/>
  <c r="I156" i="4" s="1"/>
  <c r="H155" i="4"/>
  <c r="I155" i="4" s="1"/>
  <c r="H154" i="4"/>
  <c r="I154" i="4" s="1"/>
  <c r="H153" i="4"/>
  <c r="I153" i="4" s="1"/>
  <c r="H152" i="4"/>
  <c r="I152" i="4" s="1"/>
  <c r="H151" i="4"/>
  <c r="I151" i="4" s="1"/>
  <c r="H150" i="4"/>
  <c r="I150" i="4" s="1"/>
  <c r="H149" i="4"/>
  <c r="I149" i="4" s="1"/>
  <c r="H148" i="4"/>
  <c r="I148" i="4" s="1"/>
  <c r="H147" i="4"/>
  <c r="I147" i="4" s="1"/>
  <c r="H146" i="4"/>
  <c r="I146" i="4" s="1"/>
  <c r="H145" i="4"/>
  <c r="I145" i="4" s="1"/>
  <c r="H144" i="4"/>
  <c r="I144" i="4" s="1"/>
  <c r="H143" i="4"/>
  <c r="I143" i="4" s="1"/>
  <c r="H142" i="4"/>
  <c r="I142" i="4" s="1"/>
  <c r="H141" i="4"/>
  <c r="I141" i="4" s="1"/>
  <c r="H140" i="4"/>
  <c r="I140" i="4" s="1"/>
  <c r="H139" i="4"/>
  <c r="I139" i="4" s="1"/>
  <c r="H138" i="4"/>
  <c r="I138" i="4" s="1"/>
  <c r="H137" i="4"/>
  <c r="I137" i="4" s="1"/>
  <c r="H136" i="4"/>
  <c r="I136" i="4" s="1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H129" i="4"/>
  <c r="I129" i="4" s="1"/>
  <c r="H128" i="4"/>
  <c r="I128" i="4" s="1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H121" i="4"/>
  <c r="I121" i="4" s="1"/>
  <c r="H120" i="4"/>
  <c r="I120" i="4" s="1"/>
  <c r="H119" i="4"/>
  <c r="I119" i="4" s="1"/>
  <c r="H118" i="4"/>
  <c r="I118" i="4" s="1"/>
  <c r="H117" i="4"/>
  <c r="I117" i="4" s="1"/>
  <c r="H116" i="4"/>
  <c r="I116" i="4" s="1"/>
  <c r="H115" i="4"/>
  <c r="I115" i="4" s="1"/>
  <c r="H114" i="4"/>
  <c r="I114" i="4" s="1"/>
  <c r="H113" i="4"/>
  <c r="I113" i="4" s="1"/>
  <c r="H112" i="4"/>
  <c r="I112" i="4" s="1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H105" i="4"/>
  <c r="I105" i="4" s="1"/>
  <c r="H104" i="4"/>
  <c r="I104" i="4" s="1"/>
  <c r="H103" i="4"/>
  <c r="I103" i="4" s="1"/>
  <c r="H102" i="4"/>
  <c r="I102" i="4" s="1"/>
  <c r="H101" i="4"/>
  <c r="I101" i="4" s="1"/>
  <c r="H100" i="4"/>
  <c r="I100" i="4" s="1"/>
  <c r="H99" i="4"/>
  <c r="I99" i="4" s="1"/>
  <c r="H98" i="4"/>
  <c r="I98" i="4" s="1"/>
  <c r="H97" i="4"/>
  <c r="I97" i="4" s="1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H72" i="4"/>
  <c r="I72" i="4" s="1"/>
  <c r="H71" i="4"/>
  <c r="I71" i="4" s="1"/>
  <c r="H70" i="4"/>
  <c r="I70" i="4" s="1"/>
  <c r="H69" i="4"/>
  <c r="I69" i="4" s="1"/>
  <c r="H68" i="4"/>
  <c r="I68" i="4" s="1"/>
  <c r="H67" i="4"/>
  <c r="I67" i="4" s="1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H55" i="4"/>
  <c r="I55" i="4" s="1"/>
  <c r="H54" i="4"/>
  <c r="I54" i="4" s="1"/>
  <c r="H53" i="4"/>
  <c r="I53" i="4" s="1"/>
  <c r="H52" i="4"/>
  <c r="I52" i="4" s="1"/>
  <c r="H51" i="4"/>
  <c r="I51" i="4" s="1"/>
  <c r="H50" i="4"/>
  <c r="I50" i="4" s="1"/>
  <c r="H49" i="4"/>
  <c r="I49" i="4" s="1"/>
  <c r="H48" i="4"/>
  <c r="I48" i="4" s="1"/>
  <c r="H47" i="4"/>
  <c r="I47" i="4" s="1"/>
  <c r="H46" i="4"/>
  <c r="I46" i="4" s="1"/>
  <c r="H45" i="4"/>
  <c r="I45" i="4" s="1"/>
  <c r="H44" i="4"/>
  <c r="I44" i="4" s="1"/>
  <c r="H43" i="4"/>
  <c r="I43" i="4" s="1"/>
  <c r="H42" i="4"/>
  <c r="I42" i="4" s="1"/>
  <c r="H41" i="4"/>
  <c r="I41" i="4" s="1"/>
  <c r="H40" i="4"/>
  <c r="I40" i="4" s="1"/>
  <c r="H39" i="4"/>
  <c r="I39" i="4" s="1"/>
  <c r="H38" i="4"/>
  <c r="I38" i="4" s="1"/>
  <c r="H37" i="4"/>
  <c r="I37" i="4" s="1"/>
  <c r="H36" i="4"/>
  <c r="I36" i="4" s="1"/>
  <c r="H35" i="4"/>
  <c r="I35" i="4" s="1"/>
  <c r="H34" i="4"/>
  <c r="I34" i="4" s="1"/>
  <c r="H33" i="4"/>
  <c r="I33" i="4" s="1"/>
  <c r="H32" i="4"/>
  <c r="I32" i="4" s="1"/>
  <c r="H31" i="4"/>
  <c r="I31" i="4" s="1"/>
  <c r="H30" i="4"/>
  <c r="I30" i="4" s="1"/>
  <c r="H29" i="4"/>
  <c r="I29" i="4" s="1"/>
  <c r="H28" i="4"/>
  <c r="I28" i="4" s="1"/>
  <c r="H27" i="4"/>
  <c r="I27" i="4" s="1"/>
  <c r="H26" i="4"/>
  <c r="I26" i="4" s="1"/>
  <c r="H25" i="4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H14" i="4"/>
  <c r="I14" i="4" s="1"/>
  <c r="H13" i="4"/>
  <c r="J13" i="4" s="1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AB5" i="3"/>
  <c r="AB2" i="3"/>
  <c r="AD10" i="3" s="1"/>
  <c r="F10" i="1"/>
  <c r="AB4" i="3"/>
  <c r="AE15" i="3"/>
  <c r="AE14" i="3"/>
  <c r="AE13" i="3"/>
  <c r="AE12" i="3"/>
  <c r="AE11" i="3"/>
  <c r="AE10" i="3"/>
  <c r="AD11" i="3"/>
  <c r="AN2" i="4"/>
  <c r="V2" i="2"/>
  <c r="AB2" i="2"/>
  <c r="V2" i="3"/>
  <c r="X29" i="3" s="1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V4" i="3" s="1"/>
  <c r="Y15" i="3"/>
  <c r="Y14" i="3"/>
  <c r="Y13" i="3"/>
  <c r="X30" i="3"/>
  <c r="X26" i="3"/>
  <c r="X25" i="3"/>
  <c r="X22" i="3"/>
  <c r="X20" i="3"/>
  <c r="X18" i="3"/>
  <c r="X16" i="3"/>
  <c r="X14" i="3"/>
  <c r="X13" i="3"/>
  <c r="V5" i="3"/>
  <c r="S92" i="3"/>
  <c r="S91" i="3"/>
  <c r="S90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P4" i="3" s="1"/>
  <c r="S21" i="3"/>
  <c r="R86" i="3"/>
  <c r="R81" i="3"/>
  <c r="R80" i="3"/>
  <c r="R78" i="3"/>
  <c r="R77" i="3"/>
  <c r="R73" i="3"/>
  <c r="R72" i="3"/>
  <c r="R71" i="3"/>
  <c r="R70" i="3"/>
  <c r="R63" i="3"/>
  <c r="R62" i="3"/>
  <c r="R54" i="3"/>
  <c r="R53" i="3"/>
  <c r="R52" i="3"/>
  <c r="R46" i="3"/>
  <c r="R45" i="3"/>
  <c r="R43" i="3"/>
  <c r="R38" i="3"/>
  <c r="R36" i="3"/>
  <c r="R30" i="3"/>
  <c r="R24" i="3"/>
  <c r="R23" i="3"/>
  <c r="R22" i="3"/>
  <c r="R21" i="3"/>
  <c r="R16" i="3"/>
  <c r="R15" i="3"/>
  <c r="R14" i="3"/>
  <c r="R11" i="3"/>
  <c r="P5" i="3"/>
  <c r="P2" i="3"/>
  <c r="R92" i="3" s="1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J4" i="3" s="1"/>
  <c r="M32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J3" i="3" s="1"/>
  <c r="L9" i="3"/>
  <c r="J5" i="3"/>
  <c r="J2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D4" i="3" s="1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D3" i="3" s="1"/>
  <c r="F36" i="3"/>
  <c r="D5" i="3"/>
  <c r="D2" i="3"/>
  <c r="J4" i="2"/>
  <c r="M9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B4" i="2" s="1"/>
  <c r="AE20" i="2"/>
  <c r="AE19" i="2"/>
  <c r="AE18" i="2"/>
  <c r="AE17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B5" i="2"/>
  <c r="AB3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V4" i="2" s="1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V3" i="2" s="1"/>
  <c r="V5" i="2"/>
  <c r="P9" i="1" s="1"/>
  <c r="H9" i="1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P4" i="2" s="1"/>
  <c r="S25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P3" i="2" s="1"/>
  <c r="P5" i="2"/>
  <c r="P8" i="1" s="1"/>
  <c r="P2" i="2"/>
  <c r="H8" i="1" s="1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J5" i="2"/>
  <c r="J2" i="2"/>
  <c r="H7" i="1" s="1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F303" i="2"/>
  <c r="F302" i="2"/>
  <c r="F301" i="2"/>
  <c r="F294" i="2"/>
  <c r="F293" i="2"/>
  <c r="F290" i="2"/>
  <c r="F289" i="2"/>
  <c r="F288" i="2"/>
  <c r="F287" i="2"/>
  <c r="F286" i="2"/>
  <c r="F285" i="2"/>
  <c r="F282" i="2"/>
  <c r="F278" i="2"/>
  <c r="F277" i="2"/>
  <c r="F270" i="2"/>
  <c r="F269" i="2"/>
  <c r="F262" i="2"/>
  <c r="F261" i="2"/>
  <c r="F257" i="2"/>
  <c r="F254" i="2"/>
  <c r="F253" i="2"/>
  <c r="F252" i="2"/>
  <c r="F246" i="2"/>
  <c r="F245" i="2"/>
  <c r="F238" i="2"/>
  <c r="F237" i="2"/>
  <c r="F233" i="2"/>
  <c r="F230" i="2"/>
  <c r="F229" i="2"/>
  <c r="F222" i="2"/>
  <c r="F221" i="2"/>
  <c r="F217" i="2"/>
  <c r="F214" i="2"/>
  <c r="F213" i="2"/>
  <c r="F209" i="2"/>
  <c r="F206" i="2"/>
  <c r="F205" i="2"/>
  <c r="F204" i="2"/>
  <c r="F198" i="2"/>
  <c r="F197" i="2"/>
  <c r="F196" i="2"/>
  <c r="F190" i="2"/>
  <c r="F189" i="2"/>
  <c r="F182" i="2"/>
  <c r="F181" i="2"/>
  <c r="F175" i="2"/>
  <c r="F174" i="2"/>
  <c r="F173" i="2"/>
  <c r="F172" i="2"/>
  <c r="F166" i="2"/>
  <c r="F165" i="2"/>
  <c r="F158" i="2"/>
  <c r="F157" i="2"/>
  <c r="F152" i="2"/>
  <c r="F150" i="2"/>
  <c r="F149" i="2"/>
  <c r="F142" i="2"/>
  <c r="F141" i="2"/>
  <c r="F137" i="2"/>
  <c r="F134" i="2"/>
  <c r="F133" i="2"/>
  <c r="F128" i="2"/>
  <c r="F126" i="2"/>
  <c r="F125" i="2"/>
  <c r="F120" i="2"/>
  <c r="F118" i="2"/>
  <c r="F117" i="2"/>
  <c r="F113" i="2"/>
  <c r="F110" i="2"/>
  <c r="F109" i="2"/>
  <c r="F107" i="2"/>
  <c r="F105" i="2"/>
  <c r="F102" i="2"/>
  <c r="F101" i="2"/>
  <c r="F97" i="2"/>
  <c r="F94" i="2"/>
  <c r="F93" i="2"/>
  <c r="F86" i="2"/>
  <c r="F85" i="2"/>
  <c r="F80" i="2"/>
  <c r="F78" i="2"/>
  <c r="F77" i="2"/>
  <c r="F75" i="2"/>
  <c r="F72" i="2"/>
  <c r="F70" i="2"/>
  <c r="F69" i="2"/>
  <c r="F67" i="2"/>
  <c r="F62" i="2"/>
  <c r="F61" i="2"/>
  <c r="F54" i="2"/>
  <c r="F53" i="2"/>
  <c r="F50" i="2"/>
  <c r="F46" i="2"/>
  <c r="F45" i="2"/>
  <c r="F42" i="2"/>
  <c r="F38" i="2"/>
  <c r="D5" i="2"/>
  <c r="P6" i="1" s="1"/>
  <c r="D2" i="2"/>
  <c r="F9" i="2" s="1"/>
  <c r="AQ54" i="4"/>
  <c r="AQ53" i="4"/>
  <c r="AQ52" i="4"/>
  <c r="AQ51" i="4"/>
  <c r="AQ50" i="4"/>
  <c r="AQ49" i="4"/>
  <c r="AQ48" i="4"/>
  <c r="AQ47" i="4"/>
  <c r="AQ46" i="4"/>
  <c r="AQ45" i="4"/>
  <c r="AQ44" i="4"/>
  <c r="AQ43" i="4"/>
  <c r="AQ42" i="4"/>
  <c r="AQ41" i="4"/>
  <c r="AQ40" i="4"/>
  <c r="AQ39" i="4"/>
  <c r="AQ38" i="4"/>
  <c r="AQ37" i="4"/>
  <c r="AQ36" i="4"/>
  <c r="AQ35" i="4"/>
  <c r="AQ34" i="4"/>
  <c r="AQ33" i="4"/>
  <c r="AQ32" i="4"/>
  <c r="AQ31" i="4"/>
  <c r="AQ30" i="4"/>
  <c r="AQ29" i="4"/>
  <c r="AQ28" i="4"/>
  <c r="AQ27" i="4"/>
  <c r="AQ26" i="4"/>
  <c r="AQ25" i="4"/>
  <c r="AQ24" i="4"/>
  <c r="AN5" i="4"/>
  <c r="Q10" i="1" s="1"/>
  <c r="AH76" i="4"/>
  <c r="AH75" i="4"/>
  <c r="AH74" i="4"/>
  <c r="AH73" i="4"/>
  <c r="AH72" i="4"/>
  <c r="AH71" i="4"/>
  <c r="AH70" i="4"/>
  <c r="AH69" i="4"/>
  <c r="AH68" i="4"/>
  <c r="AH67" i="4"/>
  <c r="AH66" i="4"/>
  <c r="AH65" i="4"/>
  <c r="AH64" i="4"/>
  <c r="AH63" i="4"/>
  <c r="AH62" i="4"/>
  <c r="AH61" i="4"/>
  <c r="AH60" i="4"/>
  <c r="AH59" i="4"/>
  <c r="AH58" i="4"/>
  <c r="AH57" i="4"/>
  <c r="AH56" i="4"/>
  <c r="AH55" i="4"/>
  <c r="AH54" i="4"/>
  <c r="AH53" i="4"/>
  <c r="AH52" i="4"/>
  <c r="AH51" i="4"/>
  <c r="AH50" i="4"/>
  <c r="AH49" i="4"/>
  <c r="AH48" i="4"/>
  <c r="AH47" i="4"/>
  <c r="AH46" i="4"/>
  <c r="AH45" i="4"/>
  <c r="AH44" i="4"/>
  <c r="AH43" i="4"/>
  <c r="AH42" i="4"/>
  <c r="AH41" i="4"/>
  <c r="AH40" i="4"/>
  <c r="AH39" i="4"/>
  <c r="AH38" i="4"/>
  <c r="AH37" i="4"/>
  <c r="AH36" i="4"/>
  <c r="AH35" i="4"/>
  <c r="AH34" i="4"/>
  <c r="AH33" i="4"/>
  <c r="AH32" i="4"/>
  <c r="AH31" i="4"/>
  <c r="AH30" i="4"/>
  <c r="AH29" i="4"/>
  <c r="AH28" i="4"/>
  <c r="AH27" i="4"/>
  <c r="AH26" i="4"/>
  <c r="AH25" i="4"/>
  <c r="AG74" i="4"/>
  <c r="AG73" i="4"/>
  <c r="AG72" i="4"/>
  <c r="AG71" i="4"/>
  <c r="AG68" i="4"/>
  <c r="AG66" i="4"/>
  <c r="AG65" i="4"/>
  <c r="AG64" i="4"/>
  <c r="AG63" i="4"/>
  <c r="AG62" i="4"/>
  <c r="AG60" i="4"/>
  <c r="AG59" i="4"/>
  <c r="AG57" i="4"/>
  <c r="AG54" i="4"/>
  <c r="AG52" i="4"/>
  <c r="AG51" i="4"/>
  <c r="AG50" i="4"/>
  <c r="AG49" i="4"/>
  <c r="AG47" i="4"/>
  <c r="AG46" i="4"/>
  <c r="AG42" i="4"/>
  <c r="AG39" i="4"/>
  <c r="AG38" i="4"/>
  <c r="AG37" i="4"/>
  <c r="AG36" i="4"/>
  <c r="AG35" i="4"/>
  <c r="AG32" i="4"/>
  <c r="AG30" i="4"/>
  <c r="AG28" i="4"/>
  <c r="AG26" i="4"/>
  <c r="AG25" i="4"/>
  <c r="AE5" i="4"/>
  <c r="Q9" i="1" s="1"/>
  <c r="AE2" i="4"/>
  <c r="J9" i="1" s="1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X155" i="4"/>
  <c r="X150" i="4"/>
  <c r="X146" i="4"/>
  <c r="X144" i="4"/>
  <c r="X143" i="4"/>
  <c r="X140" i="4"/>
  <c r="X139" i="4"/>
  <c r="X138" i="4"/>
  <c r="X135" i="4"/>
  <c r="X134" i="4"/>
  <c r="X133" i="4"/>
  <c r="X132" i="4"/>
  <c r="X131" i="4"/>
  <c r="X128" i="4"/>
  <c r="X123" i="4"/>
  <c r="X119" i="4"/>
  <c r="X112" i="4"/>
  <c r="X111" i="4"/>
  <c r="X109" i="4"/>
  <c r="X108" i="4"/>
  <c r="X103" i="4"/>
  <c r="X101" i="4"/>
  <c r="X100" i="4"/>
  <c r="X94" i="4"/>
  <c r="X90" i="4"/>
  <c r="X89" i="4"/>
  <c r="X87" i="4"/>
  <c r="X82" i="4"/>
  <c r="X81" i="4"/>
  <c r="X77" i="4"/>
  <c r="X75" i="4"/>
  <c r="X73" i="4"/>
  <c r="X70" i="4"/>
  <c r="X68" i="4"/>
  <c r="X64" i="4"/>
  <c r="X63" i="4"/>
  <c r="X60" i="4"/>
  <c r="X58" i="4"/>
  <c r="X57" i="4"/>
  <c r="X53" i="4"/>
  <c r="X49" i="4"/>
  <c r="X46" i="4"/>
  <c r="X42" i="4"/>
  <c r="X41" i="4"/>
  <c r="X40" i="4"/>
  <c r="X39" i="4"/>
  <c r="X38" i="4"/>
  <c r="X37" i="4"/>
  <c r="X31" i="4"/>
  <c r="X30" i="4"/>
  <c r="V5" i="4"/>
  <c r="Q8" i="1" s="1"/>
  <c r="V2" i="4"/>
  <c r="J8" i="1" s="1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O247" i="4"/>
  <c r="O246" i="4"/>
  <c r="O240" i="4"/>
  <c r="O239" i="4"/>
  <c r="O237" i="4"/>
  <c r="O236" i="4"/>
  <c r="O235" i="4"/>
  <c r="O231" i="4"/>
  <c r="O230" i="4"/>
  <c r="O228" i="4"/>
  <c r="O227" i="4"/>
  <c r="O225" i="4"/>
  <c r="O224" i="4"/>
  <c r="O223" i="4"/>
  <c r="O222" i="4"/>
  <c r="O217" i="4"/>
  <c r="O215" i="4"/>
  <c r="O212" i="4"/>
  <c r="O210" i="4"/>
  <c r="O209" i="4"/>
  <c r="O206" i="4"/>
  <c r="O204" i="4"/>
  <c r="O202" i="4"/>
  <c r="O201" i="4"/>
  <c r="O198" i="4"/>
  <c r="O196" i="4"/>
  <c r="O194" i="4"/>
  <c r="O191" i="4"/>
  <c r="O190" i="4"/>
  <c r="O189" i="4"/>
  <c r="O187" i="4"/>
  <c r="O186" i="4"/>
  <c r="O185" i="4"/>
  <c r="O184" i="4"/>
  <c r="O182" i="4"/>
  <c r="O181" i="4"/>
  <c r="O179" i="4"/>
  <c r="O176" i="4"/>
  <c r="O174" i="4"/>
  <c r="O173" i="4"/>
  <c r="O172" i="4"/>
  <c r="O166" i="4"/>
  <c r="O165" i="4"/>
  <c r="O164" i="4"/>
  <c r="O163" i="4"/>
  <c r="O162" i="4"/>
  <c r="O159" i="4"/>
  <c r="O155" i="4"/>
  <c r="O154" i="4"/>
  <c r="O152" i="4"/>
  <c r="O148" i="4"/>
  <c r="O146" i="4"/>
  <c r="O145" i="4"/>
  <c r="O144" i="4"/>
  <c r="O143" i="4"/>
  <c r="O140" i="4"/>
  <c r="O139" i="4"/>
  <c r="O137" i="4"/>
  <c r="O136" i="4"/>
  <c r="O134" i="4"/>
  <c r="O133" i="4"/>
  <c r="O130" i="4"/>
  <c r="O128" i="4"/>
  <c r="O126" i="4"/>
  <c r="O125" i="4"/>
  <c r="O122" i="4"/>
  <c r="O120" i="4"/>
  <c r="O119" i="4"/>
  <c r="O118" i="4"/>
  <c r="O117" i="4"/>
  <c r="O116" i="4"/>
  <c r="O115" i="4"/>
  <c r="O113" i="4"/>
  <c r="O112" i="4"/>
  <c r="O110" i="4"/>
  <c r="O107" i="4"/>
  <c r="O103" i="4"/>
  <c r="O100" i="4"/>
  <c r="O95" i="4"/>
  <c r="O94" i="4"/>
  <c r="O92" i="4"/>
  <c r="O90" i="4"/>
  <c r="O87" i="4"/>
  <c r="O85" i="4"/>
  <c r="O84" i="4"/>
  <c r="O83" i="4"/>
  <c r="O79" i="4"/>
  <c r="O77" i="4"/>
  <c r="O71" i="4"/>
  <c r="O70" i="4"/>
  <c r="O69" i="4"/>
  <c r="O68" i="4"/>
  <c r="O66" i="4"/>
  <c r="O65" i="4"/>
  <c r="O62" i="4"/>
  <c r="O61" i="4"/>
  <c r="O60" i="4"/>
  <c r="O59" i="4"/>
  <c r="O57" i="4"/>
  <c r="O56" i="4"/>
  <c r="O53" i="4"/>
  <c r="O51" i="4"/>
  <c r="O50" i="4"/>
  <c r="O49" i="4"/>
  <c r="O47" i="4"/>
  <c r="O44" i="4"/>
  <c r="O43" i="4"/>
  <c r="O42" i="4"/>
  <c r="O41" i="4"/>
  <c r="O39" i="4"/>
  <c r="O38" i="4"/>
  <c r="O37" i="4"/>
  <c r="O34" i="4"/>
  <c r="O32" i="4"/>
  <c r="O30" i="4"/>
  <c r="O29" i="4"/>
  <c r="O28" i="4"/>
  <c r="O27" i="4"/>
  <c r="O26" i="4"/>
  <c r="O24" i="4"/>
  <c r="O23" i="4"/>
  <c r="O22" i="4"/>
  <c r="O21" i="4"/>
  <c r="O17" i="4"/>
  <c r="M5" i="4"/>
  <c r="Q7" i="1" s="1"/>
  <c r="M2" i="4"/>
  <c r="J7" i="1" s="1"/>
  <c r="F307" i="4"/>
  <c r="F306" i="4"/>
  <c r="F294" i="4"/>
  <c r="F293" i="4"/>
  <c r="F292" i="4"/>
  <c r="F291" i="4"/>
  <c r="F286" i="4"/>
  <c r="F261" i="4"/>
  <c r="F259" i="4"/>
  <c r="F256" i="4"/>
  <c r="F249" i="4"/>
  <c r="F242" i="4"/>
  <c r="F237" i="4"/>
  <c r="F221" i="4"/>
  <c r="F213" i="4"/>
  <c r="F210" i="4"/>
  <c r="F208" i="4"/>
  <c r="F201" i="4"/>
  <c r="F200" i="4"/>
  <c r="F179" i="4"/>
  <c r="F176" i="4"/>
  <c r="F156" i="4"/>
  <c r="F145" i="4"/>
  <c r="F141" i="4"/>
  <c r="F132" i="4"/>
  <c r="F124" i="4"/>
  <c r="F117" i="4"/>
  <c r="F111" i="4"/>
  <c r="F109" i="4"/>
  <c r="F101" i="4"/>
  <c r="F90" i="4"/>
  <c r="F89" i="4"/>
  <c r="F84" i="4"/>
  <c r="F79" i="4"/>
  <c r="F76" i="4"/>
  <c r="F71" i="4"/>
  <c r="F54" i="4"/>
  <c r="F46" i="4"/>
  <c r="F41" i="4"/>
  <c r="F39" i="4"/>
  <c r="F27" i="4"/>
  <c r="F14" i="4"/>
  <c r="D5" i="4"/>
  <c r="Q6" i="1" s="1"/>
  <c r="P7" i="1"/>
  <c r="O10" i="1"/>
  <c r="O7" i="1"/>
  <c r="P10" i="1"/>
  <c r="H10" i="1"/>
  <c r="O9" i="1"/>
  <c r="F9" i="1"/>
  <c r="O8" i="1"/>
  <c r="F7" i="1"/>
  <c r="O6" i="1"/>
  <c r="AQ21" i="4"/>
  <c r="AQ22" i="4"/>
  <c r="AQ2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Y28" i="4"/>
  <c r="G28" i="4"/>
  <c r="Y27" i="4"/>
  <c r="X27" i="4"/>
  <c r="G27" i="4"/>
  <c r="Y26" i="4"/>
  <c r="G26" i="4"/>
  <c r="Y25" i="4"/>
  <c r="X25" i="4"/>
  <c r="G25" i="4"/>
  <c r="AH24" i="4"/>
  <c r="Y24" i="4"/>
  <c r="X24" i="4"/>
  <c r="G24" i="4"/>
  <c r="AH23" i="4"/>
  <c r="AG23" i="4"/>
  <c r="Y23" i="4"/>
  <c r="G23" i="4"/>
  <c r="AH22" i="4"/>
  <c r="Y22" i="4"/>
  <c r="G22" i="4"/>
  <c r="AH21" i="4"/>
  <c r="AG21" i="4"/>
  <c r="Y21" i="4"/>
  <c r="G21" i="4"/>
  <c r="AQ20" i="4"/>
  <c r="AH20" i="4"/>
  <c r="Y20" i="4"/>
  <c r="G20" i="4"/>
  <c r="AQ19" i="4"/>
  <c r="AH19" i="4"/>
  <c r="AG19" i="4"/>
  <c r="Y19" i="4"/>
  <c r="X19" i="4"/>
  <c r="G19" i="4"/>
  <c r="AQ18" i="4"/>
  <c r="AH18" i="4"/>
  <c r="Y18" i="4"/>
  <c r="G18" i="4"/>
  <c r="AQ17" i="4"/>
  <c r="AH17" i="4"/>
  <c r="AG17" i="4"/>
  <c r="Y17" i="4"/>
  <c r="X17" i="4"/>
  <c r="G17" i="4"/>
  <c r="AQ16" i="4"/>
  <c r="AH16" i="4"/>
  <c r="Y16" i="4"/>
  <c r="X16" i="4"/>
  <c r="G16" i="4"/>
  <c r="AQ15" i="4"/>
  <c r="AH15" i="4"/>
  <c r="Y15" i="4"/>
  <c r="X15" i="4"/>
  <c r="G15" i="4"/>
  <c r="AQ14" i="4"/>
  <c r="AH14" i="4"/>
  <c r="Y14" i="4"/>
  <c r="X14" i="4"/>
  <c r="G14" i="4"/>
  <c r="AQ13" i="4"/>
  <c r="AH13" i="4"/>
  <c r="Y13" i="4"/>
  <c r="X13" i="4"/>
  <c r="P13" i="4"/>
  <c r="G13" i="4"/>
  <c r="AE9" i="3"/>
  <c r="G10" i="1" s="1"/>
  <c r="Y10" i="3"/>
  <c r="Y11" i="3"/>
  <c r="Y12" i="3"/>
  <c r="Y9" i="3"/>
  <c r="S10" i="3"/>
  <c r="S11" i="3"/>
  <c r="S12" i="3"/>
  <c r="S13" i="3"/>
  <c r="S14" i="3"/>
  <c r="S15" i="3"/>
  <c r="S16" i="3"/>
  <c r="S17" i="3"/>
  <c r="S18" i="3"/>
  <c r="S19" i="3"/>
  <c r="S20" i="3"/>
  <c r="S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9" i="3"/>
  <c r="F10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F35" i="3"/>
  <c r="G35" i="3"/>
  <c r="G36" i="3"/>
  <c r="G9" i="3"/>
  <c r="AE10" i="2"/>
  <c r="AE11" i="2"/>
  <c r="AE12" i="2"/>
  <c r="AE13" i="2"/>
  <c r="AE14" i="2"/>
  <c r="AE15" i="2"/>
  <c r="AE16" i="2"/>
  <c r="AE9" i="2"/>
  <c r="Y10" i="2"/>
  <c r="Y11" i="2"/>
  <c r="X12" i="2"/>
  <c r="Y12" i="2"/>
  <c r="X13" i="2"/>
  <c r="Y13" i="2"/>
  <c r="Y14" i="2"/>
  <c r="X15" i="2"/>
  <c r="Y15" i="2"/>
  <c r="Y16" i="2"/>
  <c r="X17" i="2"/>
  <c r="Y17" i="2"/>
  <c r="X18" i="2"/>
  <c r="Y18" i="2"/>
  <c r="X19" i="2"/>
  <c r="Y19" i="2"/>
  <c r="Y20" i="2"/>
  <c r="Y9" i="2"/>
  <c r="R10" i="2"/>
  <c r="S10" i="2"/>
  <c r="R11" i="2"/>
  <c r="S11" i="2"/>
  <c r="R12" i="2"/>
  <c r="S12" i="2"/>
  <c r="R13" i="2"/>
  <c r="S13" i="2"/>
  <c r="S14" i="2"/>
  <c r="R15" i="2"/>
  <c r="S15" i="2"/>
  <c r="R16" i="2"/>
  <c r="S16" i="2"/>
  <c r="S17" i="2"/>
  <c r="R18" i="2"/>
  <c r="S18" i="2"/>
  <c r="S19" i="2"/>
  <c r="R20" i="2"/>
  <c r="S20" i="2"/>
  <c r="R21" i="2"/>
  <c r="S21" i="2"/>
  <c r="R22" i="2"/>
  <c r="S22" i="2"/>
  <c r="R23" i="2"/>
  <c r="S23" i="2"/>
  <c r="S24" i="2"/>
  <c r="S9" i="2"/>
  <c r="R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F10" i="2"/>
  <c r="F35" i="2"/>
  <c r="F37" i="2"/>
  <c r="G9" i="2"/>
  <c r="M8" i="4" l="1"/>
  <c r="S13" i="4"/>
  <c r="S21" i="4"/>
  <c r="S29" i="4"/>
  <c r="S37" i="4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57" i="4"/>
  <c r="S173" i="4"/>
  <c r="S14" i="4"/>
  <c r="S22" i="4"/>
  <c r="S30" i="4"/>
  <c r="S38" i="4"/>
  <c r="S46" i="4"/>
  <c r="S54" i="4"/>
  <c r="S62" i="4"/>
  <c r="S70" i="4"/>
  <c r="S78" i="4"/>
  <c r="S86" i="4"/>
  <c r="S94" i="4"/>
  <c r="S102" i="4"/>
  <c r="S110" i="4"/>
  <c r="S118" i="4"/>
  <c r="S126" i="4"/>
  <c r="S134" i="4"/>
  <c r="S142" i="4"/>
  <c r="S150" i="4"/>
  <c r="S158" i="4"/>
  <c r="S166" i="4"/>
  <c r="S174" i="4"/>
  <c r="S182" i="4"/>
  <c r="S190" i="4"/>
  <c r="S198" i="4"/>
  <c r="S206" i="4"/>
  <c r="S214" i="4"/>
  <c r="S222" i="4"/>
  <c r="S230" i="4"/>
  <c r="S238" i="4"/>
  <c r="S246" i="4"/>
  <c r="AB19" i="4"/>
  <c r="AB27" i="4"/>
  <c r="AB35" i="4"/>
  <c r="AB43" i="4"/>
  <c r="AB51" i="4"/>
  <c r="AB59" i="4"/>
  <c r="AB67" i="4"/>
  <c r="AB75" i="4"/>
  <c r="AB83" i="4"/>
  <c r="AB91" i="4"/>
  <c r="AB99" i="4"/>
  <c r="AB107" i="4"/>
  <c r="AB115" i="4"/>
  <c r="AB123" i="4"/>
  <c r="AB131" i="4"/>
  <c r="AB139" i="4"/>
  <c r="AB147" i="4"/>
  <c r="AB155" i="4"/>
  <c r="V6" i="4"/>
  <c r="V8" i="4" s="1"/>
  <c r="S15" i="4"/>
  <c r="S23" i="4"/>
  <c r="S31" i="4"/>
  <c r="S39" i="4"/>
  <c r="S47" i="4"/>
  <c r="S55" i="4"/>
  <c r="S63" i="4"/>
  <c r="S71" i="4"/>
  <c r="S79" i="4"/>
  <c r="S87" i="4"/>
  <c r="S95" i="4"/>
  <c r="S103" i="4"/>
  <c r="S111" i="4"/>
  <c r="S119" i="4"/>
  <c r="S127" i="4"/>
  <c r="S135" i="4"/>
  <c r="S143" i="4"/>
  <c r="S151" i="4"/>
  <c r="S159" i="4"/>
  <c r="S167" i="4"/>
  <c r="S175" i="4"/>
  <c r="S183" i="4"/>
  <c r="S191" i="4"/>
  <c r="S199" i="4"/>
  <c r="S207" i="4"/>
  <c r="S215" i="4"/>
  <c r="S223" i="4"/>
  <c r="S231" i="4"/>
  <c r="S239" i="4"/>
  <c r="S247" i="4"/>
  <c r="AB20" i="4"/>
  <c r="AB28" i="4"/>
  <c r="AB36" i="4"/>
  <c r="AB44" i="4"/>
  <c r="AB52" i="4"/>
  <c r="AB60" i="4"/>
  <c r="AB68" i="4"/>
  <c r="AB76" i="4"/>
  <c r="AB84" i="4"/>
  <c r="AB92" i="4"/>
  <c r="AB100" i="4"/>
  <c r="AB108" i="4"/>
  <c r="AB116" i="4"/>
  <c r="AB124" i="4"/>
  <c r="AB132" i="4"/>
  <c r="AB140" i="4"/>
  <c r="AB148" i="4"/>
  <c r="AB156" i="4"/>
  <c r="S16" i="4"/>
  <c r="S24" i="4"/>
  <c r="S32" i="4"/>
  <c r="S40" i="4"/>
  <c r="S48" i="4"/>
  <c r="S56" i="4"/>
  <c r="S64" i="4"/>
  <c r="S72" i="4"/>
  <c r="S80" i="4"/>
  <c r="S88" i="4"/>
  <c r="S96" i="4"/>
  <c r="S104" i="4"/>
  <c r="S112" i="4"/>
  <c r="S120" i="4"/>
  <c r="S128" i="4"/>
  <c r="S136" i="4"/>
  <c r="S144" i="4"/>
  <c r="S152" i="4"/>
  <c r="S160" i="4"/>
  <c r="S168" i="4"/>
  <c r="S176" i="4"/>
  <c r="S184" i="4"/>
  <c r="S192" i="4"/>
  <c r="S200" i="4"/>
  <c r="S208" i="4"/>
  <c r="S216" i="4"/>
  <c r="S224" i="4"/>
  <c r="S232" i="4"/>
  <c r="S240" i="4"/>
  <c r="AB13" i="4"/>
  <c r="AB21" i="4"/>
  <c r="AB29" i="4"/>
  <c r="AB37" i="4"/>
  <c r="AB45" i="4"/>
  <c r="AB53" i="4"/>
  <c r="AB61" i="4"/>
  <c r="AB69" i="4"/>
  <c r="AB77" i="4"/>
  <c r="AB85" i="4"/>
  <c r="AB93" i="4"/>
  <c r="AB101" i="4"/>
  <c r="AB109" i="4"/>
  <c r="AB117" i="4"/>
  <c r="AB125" i="4"/>
  <c r="AB133" i="4"/>
  <c r="AB141" i="4"/>
  <c r="AB149" i="4"/>
  <c r="AB157" i="4"/>
  <c r="S17" i="4"/>
  <c r="S25" i="4"/>
  <c r="S33" i="4"/>
  <c r="S41" i="4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3" i="4"/>
  <c r="S161" i="4"/>
  <c r="S169" i="4"/>
  <c r="S177" i="4"/>
  <c r="S185" i="4"/>
  <c r="S193" i="4"/>
  <c r="S201" i="4"/>
  <c r="S209" i="4"/>
  <c r="S217" i="4"/>
  <c r="S225" i="4"/>
  <c r="S233" i="4"/>
  <c r="S241" i="4"/>
  <c r="AB14" i="4"/>
  <c r="AB22" i="4"/>
  <c r="AB30" i="4"/>
  <c r="AB38" i="4"/>
  <c r="AB46" i="4"/>
  <c r="AB54" i="4"/>
  <c r="AB62" i="4"/>
  <c r="AB70" i="4"/>
  <c r="AB78" i="4"/>
  <c r="AB86" i="4"/>
  <c r="AB94" i="4"/>
  <c r="AB102" i="4"/>
  <c r="AB110" i="4"/>
  <c r="AB118" i="4"/>
  <c r="AB126" i="4"/>
  <c r="AB134" i="4"/>
  <c r="AB142" i="4"/>
  <c r="AB150" i="4"/>
  <c r="AB158" i="4"/>
  <c r="AE6" i="4"/>
  <c r="AE8" i="4" s="1"/>
  <c r="S18" i="4"/>
  <c r="S26" i="4"/>
  <c r="S34" i="4"/>
  <c r="S42" i="4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4" i="4"/>
  <c r="S162" i="4"/>
  <c r="S170" i="4"/>
  <c r="S178" i="4"/>
  <c r="S186" i="4"/>
  <c r="S194" i="4"/>
  <c r="S202" i="4"/>
  <c r="S210" i="4"/>
  <c r="S218" i="4"/>
  <c r="S226" i="4"/>
  <c r="S234" i="4"/>
  <c r="S242" i="4"/>
  <c r="AB15" i="4"/>
  <c r="AB23" i="4"/>
  <c r="AB31" i="4"/>
  <c r="AB39" i="4"/>
  <c r="AB47" i="4"/>
  <c r="AB55" i="4"/>
  <c r="AB63" i="4"/>
  <c r="AB71" i="4"/>
  <c r="AB79" i="4"/>
  <c r="AB87" i="4"/>
  <c r="AB95" i="4"/>
  <c r="AB103" i="4"/>
  <c r="AB111" i="4"/>
  <c r="AB119" i="4"/>
  <c r="AB127" i="4"/>
  <c r="AB135" i="4"/>
  <c r="AB143" i="4"/>
  <c r="AB151" i="4"/>
  <c r="AB159" i="4"/>
  <c r="S19" i="4"/>
  <c r="S27" i="4"/>
  <c r="S35" i="4"/>
  <c r="S43" i="4"/>
  <c r="S51" i="4"/>
  <c r="S59" i="4"/>
  <c r="S67" i="4"/>
  <c r="S75" i="4"/>
  <c r="S83" i="4"/>
  <c r="S91" i="4"/>
  <c r="S99" i="4"/>
  <c r="S107" i="4"/>
  <c r="S115" i="4"/>
  <c r="S123" i="4"/>
  <c r="S131" i="4"/>
  <c r="S139" i="4"/>
  <c r="S147" i="4"/>
  <c r="S155" i="4"/>
  <c r="S163" i="4"/>
  <c r="S171" i="4"/>
  <c r="S179" i="4"/>
  <c r="S187" i="4"/>
  <c r="S195" i="4"/>
  <c r="S203" i="4"/>
  <c r="S211" i="4"/>
  <c r="S219" i="4"/>
  <c r="S227" i="4"/>
  <c r="S235" i="4"/>
  <c r="S243" i="4"/>
  <c r="AB16" i="4"/>
  <c r="AB24" i="4"/>
  <c r="AB32" i="4"/>
  <c r="AB40" i="4"/>
  <c r="AB48" i="4"/>
  <c r="AB56" i="4"/>
  <c r="AB64" i="4"/>
  <c r="AB72" i="4"/>
  <c r="AB80" i="4"/>
  <c r="AB88" i="4"/>
  <c r="AB96" i="4"/>
  <c r="AB104" i="4"/>
  <c r="AB112" i="4"/>
  <c r="AB120" i="4"/>
  <c r="AB128" i="4"/>
  <c r="AB136" i="4"/>
  <c r="AB144" i="4"/>
  <c r="AB152" i="4"/>
  <c r="AB160" i="4"/>
  <c r="J19" i="4"/>
  <c r="J27" i="4"/>
  <c r="J35" i="4"/>
  <c r="J43" i="4"/>
  <c r="J51" i="4"/>
  <c r="J59" i="4"/>
  <c r="J67" i="4"/>
  <c r="J75" i="4"/>
  <c r="J83" i="4"/>
  <c r="J91" i="4"/>
  <c r="J99" i="4"/>
  <c r="J107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J227" i="4"/>
  <c r="J235" i="4"/>
  <c r="J243" i="4"/>
  <c r="J251" i="4"/>
  <c r="J259" i="4"/>
  <c r="J267" i="4"/>
  <c r="J275" i="4"/>
  <c r="J283" i="4"/>
  <c r="J291" i="4"/>
  <c r="J299" i="4"/>
  <c r="J307" i="4"/>
  <c r="I13" i="4"/>
  <c r="J20" i="4"/>
  <c r="J28" i="4"/>
  <c r="J36" i="4"/>
  <c r="J44" i="4"/>
  <c r="J52" i="4"/>
  <c r="J60" i="4"/>
  <c r="J68" i="4"/>
  <c r="J76" i="4"/>
  <c r="J84" i="4"/>
  <c r="J92" i="4"/>
  <c r="J100" i="4"/>
  <c r="J108" i="4"/>
  <c r="J116" i="4"/>
  <c r="J124" i="4"/>
  <c r="J132" i="4"/>
  <c r="J140" i="4"/>
  <c r="J148" i="4"/>
  <c r="J156" i="4"/>
  <c r="J164" i="4"/>
  <c r="J172" i="4"/>
  <c r="J180" i="4"/>
  <c r="J188" i="4"/>
  <c r="J196" i="4"/>
  <c r="J204" i="4"/>
  <c r="J212" i="4"/>
  <c r="J220" i="4"/>
  <c r="J228" i="4"/>
  <c r="J236" i="4"/>
  <c r="J244" i="4"/>
  <c r="J252" i="4"/>
  <c r="J260" i="4"/>
  <c r="J268" i="4"/>
  <c r="J276" i="4"/>
  <c r="J284" i="4"/>
  <c r="J292" i="4"/>
  <c r="J300" i="4"/>
  <c r="J308" i="4"/>
  <c r="J21" i="4"/>
  <c r="J29" i="4"/>
  <c r="J37" i="4"/>
  <c r="J45" i="4"/>
  <c r="J53" i="4"/>
  <c r="J61" i="4"/>
  <c r="J69" i="4"/>
  <c r="J77" i="4"/>
  <c r="J85" i="4"/>
  <c r="J93" i="4"/>
  <c r="J101" i="4"/>
  <c r="J109" i="4"/>
  <c r="J117" i="4"/>
  <c r="J125" i="4"/>
  <c r="J133" i="4"/>
  <c r="J141" i="4"/>
  <c r="J149" i="4"/>
  <c r="J157" i="4"/>
  <c r="J165" i="4"/>
  <c r="J173" i="4"/>
  <c r="J181" i="4"/>
  <c r="J189" i="4"/>
  <c r="J197" i="4"/>
  <c r="J205" i="4"/>
  <c r="J213" i="4"/>
  <c r="J221" i="4"/>
  <c r="J229" i="4"/>
  <c r="J237" i="4"/>
  <c r="J245" i="4"/>
  <c r="J253" i="4"/>
  <c r="J261" i="4"/>
  <c r="J269" i="4"/>
  <c r="J277" i="4"/>
  <c r="J285" i="4"/>
  <c r="J293" i="4"/>
  <c r="J301" i="4"/>
  <c r="J309" i="4"/>
  <c r="J14" i="4"/>
  <c r="J22" i="4"/>
  <c r="J30" i="4"/>
  <c r="J38" i="4"/>
  <c r="J46" i="4"/>
  <c r="J54" i="4"/>
  <c r="J62" i="4"/>
  <c r="J70" i="4"/>
  <c r="J78" i="4"/>
  <c r="J86" i="4"/>
  <c r="J94" i="4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15" i="4"/>
  <c r="J23" i="4"/>
  <c r="J31" i="4"/>
  <c r="J39" i="4"/>
  <c r="J47" i="4"/>
  <c r="J55" i="4"/>
  <c r="J63" i="4"/>
  <c r="J71" i="4"/>
  <c r="J79" i="4"/>
  <c r="J87" i="4"/>
  <c r="J95" i="4"/>
  <c r="J103" i="4"/>
  <c r="J111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J223" i="4"/>
  <c r="J231" i="4"/>
  <c r="J239" i="4"/>
  <c r="J247" i="4"/>
  <c r="J255" i="4"/>
  <c r="J263" i="4"/>
  <c r="J271" i="4"/>
  <c r="J279" i="4"/>
  <c r="J287" i="4"/>
  <c r="J295" i="4"/>
  <c r="J303" i="4"/>
  <c r="J311" i="4"/>
  <c r="J16" i="4"/>
  <c r="J24" i="4"/>
  <c r="J32" i="4"/>
  <c r="J40" i="4"/>
  <c r="J48" i="4"/>
  <c r="J56" i="4"/>
  <c r="J64" i="4"/>
  <c r="J72" i="4"/>
  <c r="J80" i="4"/>
  <c r="J88" i="4"/>
  <c r="J96" i="4"/>
  <c r="J104" i="4"/>
  <c r="J112" i="4"/>
  <c r="J120" i="4"/>
  <c r="J128" i="4"/>
  <c r="J136" i="4"/>
  <c r="J144" i="4"/>
  <c r="J152" i="4"/>
  <c r="J160" i="4"/>
  <c r="J168" i="4"/>
  <c r="J176" i="4"/>
  <c r="J184" i="4"/>
  <c r="J192" i="4"/>
  <c r="J200" i="4"/>
  <c r="J208" i="4"/>
  <c r="J216" i="4"/>
  <c r="J224" i="4"/>
  <c r="J232" i="4"/>
  <c r="J240" i="4"/>
  <c r="J248" i="4"/>
  <c r="J256" i="4"/>
  <c r="J264" i="4"/>
  <c r="J272" i="4"/>
  <c r="J280" i="4"/>
  <c r="J288" i="4"/>
  <c r="J296" i="4"/>
  <c r="J304" i="4"/>
  <c r="J312" i="4"/>
  <c r="J17" i="4"/>
  <c r="J25" i="4"/>
  <c r="J33" i="4"/>
  <c r="J41" i="4"/>
  <c r="J49" i="4"/>
  <c r="J57" i="4"/>
  <c r="J65" i="4"/>
  <c r="J73" i="4"/>
  <c r="J81" i="4"/>
  <c r="J89" i="4"/>
  <c r="J97" i="4"/>
  <c r="J105" i="4"/>
  <c r="J113" i="4"/>
  <c r="J121" i="4"/>
  <c r="J129" i="4"/>
  <c r="J137" i="4"/>
  <c r="J145" i="4"/>
  <c r="J153" i="4"/>
  <c r="J161" i="4"/>
  <c r="J169" i="4"/>
  <c r="J177" i="4"/>
  <c r="J185" i="4"/>
  <c r="J193" i="4"/>
  <c r="J201" i="4"/>
  <c r="J209" i="4"/>
  <c r="J217" i="4"/>
  <c r="J225" i="4"/>
  <c r="J233" i="4"/>
  <c r="J241" i="4"/>
  <c r="J249" i="4"/>
  <c r="J257" i="4"/>
  <c r="J265" i="4"/>
  <c r="J273" i="4"/>
  <c r="J281" i="4"/>
  <c r="J289" i="4"/>
  <c r="J297" i="4"/>
  <c r="J305" i="4"/>
  <c r="J18" i="4"/>
  <c r="J26" i="4"/>
  <c r="J34" i="4"/>
  <c r="J42" i="4"/>
  <c r="J50" i="4"/>
  <c r="J58" i="4"/>
  <c r="J66" i="4"/>
  <c r="J74" i="4"/>
  <c r="J82" i="4"/>
  <c r="J90" i="4"/>
  <c r="J98" i="4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AO6" i="4"/>
  <c r="F52" i="4"/>
  <c r="F270" i="4"/>
  <c r="F64" i="4"/>
  <c r="F229" i="4"/>
  <c r="F98" i="4"/>
  <c r="O208" i="4"/>
  <c r="F18" i="4"/>
  <c r="F125" i="4"/>
  <c r="F184" i="4"/>
  <c r="F312" i="4"/>
  <c r="F29" i="4"/>
  <c r="F244" i="4"/>
  <c r="F40" i="4"/>
  <c r="F110" i="4"/>
  <c r="F172" i="4"/>
  <c r="F301" i="4"/>
  <c r="F86" i="4"/>
  <c r="O242" i="4"/>
  <c r="D4" i="4"/>
  <c r="K6" i="1" s="1"/>
  <c r="F13" i="4"/>
  <c r="F93" i="4"/>
  <c r="F16" i="4"/>
  <c r="F28" i="4"/>
  <c r="F50" i="4"/>
  <c r="F62" i="4"/>
  <c r="F74" i="4"/>
  <c r="F85" i="4"/>
  <c r="F96" i="4"/>
  <c r="F140" i="4"/>
  <c r="F152" i="4"/>
  <c r="F168" i="4"/>
  <c r="F182" i="4"/>
  <c r="F198" i="4"/>
  <c r="F212" i="4"/>
  <c r="F228" i="4"/>
  <c r="F254" i="4"/>
  <c r="F269" i="4"/>
  <c r="F285" i="4"/>
  <c r="F300" i="4"/>
  <c r="F310" i="4"/>
  <c r="O18" i="4"/>
  <c r="O40" i="4"/>
  <c r="O82" i="4"/>
  <c r="O175" i="4"/>
  <c r="O207" i="4"/>
  <c r="O218" i="4"/>
  <c r="X104" i="4"/>
  <c r="X120" i="4"/>
  <c r="AG58" i="4"/>
  <c r="F20" i="4"/>
  <c r="F30" i="4"/>
  <c r="F53" i="4"/>
  <c r="F66" i="4"/>
  <c r="F88" i="4"/>
  <c r="F100" i="4"/>
  <c r="F126" i="4"/>
  <c r="F142" i="4"/>
  <c r="F157" i="4"/>
  <c r="F173" i="4"/>
  <c r="F188" i="4"/>
  <c r="F214" i="4"/>
  <c r="F230" i="4"/>
  <c r="F245" i="4"/>
  <c r="F272" i="4"/>
  <c r="F288" i="4"/>
  <c r="F302" i="4"/>
  <c r="O31" i="4"/>
  <c r="O96" i="4"/>
  <c r="O111" i="4"/>
  <c r="O167" i="4"/>
  <c r="O178" i="4"/>
  <c r="O199" i="4"/>
  <c r="O232" i="4"/>
  <c r="X32" i="4"/>
  <c r="X136" i="4"/>
  <c r="AP23" i="4"/>
  <c r="X105" i="4"/>
  <c r="F77" i="4"/>
  <c r="F21" i="4"/>
  <c r="F32" i="4"/>
  <c r="F42" i="4"/>
  <c r="F68" i="4"/>
  <c r="F78" i="4"/>
  <c r="F112" i="4"/>
  <c r="F128" i="4"/>
  <c r="F144" i="4"/>
  <c r="F158" i="4"/>
  <c r="F174" i="4"/>
  <c r="F189" i="4"/>
  <c r="F204" i="4"/>
  <c r="F216" i="4"/>
  <c r="F232" i="4"/>
  <c r="F246" i="4"/>
  <c r="F260" i="4"/>
  <c r="F276" i="4"/>
  <c r="F304" i="4"/>
  <c r="O55" i="4"/>
  <c r="O63" i="4"/>
  <c r="O72" i="4"/>
  <c r="O98" i="4"/>
  <c r="O168" i="4"/>
  <c r="O200" i="4"/>
  <c r="O234" i="4"/>
  <c r="X33" i="4"/>
  <c r="X48" i="4"/>
  <c r="X80" i="4"/>
  <c r="X96" i="4"/>
  <c r="X137" i="4"/>
  <c r="AP21" i="4"/>
  <c r="AP48" i="4"/>
  <c r="AP40" i="4"/>
  <c r="AP32" i="4"/>
  <c r="AP24" i="4"/>
  <c r="AG75" i="4"/>
  <c r="AG67" i="4"/>
  <c r="AG43" i="4"/>
  <c r="AG27" i="4"/>
  <c r="X154" i="4"/>
  <c r="X130" i="4"/>
  <c r="X122" i="4"/>
  <c r="X114" i="4"/>
  <c r="X106" i="4"/>
  <c r="X98" i="4"/>
  <c r="X74" i="4"/>
  <c r="X66" i="4"/>
  <c r="X50" i="4"/>
  <c r="X34" i="4"/>
  <c r="O241" i="4"/>
  <c r="O233" i="4"/>
  <c r="O193" i="4"/>
  <c r="O177" i="4"/>
  <c r="O169" i="4"/>
  <c r="O161" i="4"/>
  <c r="O153" i="4"/>
  <c r="O129" i="4"/>
  <c r="O121" i="4"/>
  <c r="O105" i="4"/>
  <c r="O97" i="4"/>
  <c r="O89" i="4"/>
  <c r="O81" i="4"/>
  <c r="O73" i="4"/>
  <c r="O33" i="4"/>
  <c r="O25" i="4"/>
  <c r="F311" i="4"/>
  <c r="F303" i="4"/>
  <c r="F295" i="4"/>
  <c r="F287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03" i="4"/>
  <c r="F95" i="4"/>
  <c r="F87" i="4"/>
  <c r="F63" i="4"/>
  <c r="F55" i="4"/>
  <c r="F47" i="4"/>
  <c r="F31" i="4"/>
  <c r="F23" i="4"/>
  <c r="X20" i="4"/>
  <c r="AP54" i="4"/>
  <c r="AP46" i="4"/>
  <c r="AP38" i="4"/>
  <c r="AP30" i="4"/>
  <c r="AG41" i="4"/>
  <c r="AG33" i="4"/>
  <c r="X160" i="4"/>
  <c r="X152" i="4"/>
  <c r="AP53" i="4"/>
  <c r="AP45" i="4"/>
  <c r="AP37" i="4"/>
  <c r="AP29" i="4"/>
  <c r="AG56" i="4"/>
  <c r="AG48" i="4"/>
  <c r="AG40" i="4"/>
  <c r="X159" i="4"/>
  <c r="X151" i="4"/>
  <c r="X127" i="4"/>
  <c r="X95" i="4"/>
  <c r="X79" i="4"/>
  <c r="X71" i="4"/>
  <c r="X55" i="4"/>
  <c r="X47" i="4"/>
  <c r="O238" i="4"/>
  <c r="O214" i="4"/>
  <c r="O158" i="4"/>
  <c r="O150" i="4"/>
  <c r="O142" i="4"/>
  <c r="O102" i="4"/>
  <c r="O86" i="4"/>
  <c r="O78" i="4"/>
  <c r="O54" i="4"/>
  <c r="O46" i="4"/>
  <c r="AP52" i="4"/>
  <c r="AP44" i="4"/>
  <c r="AP36" i="4"/>
  <c r="AP28" i="4"/>
  <c r="AG55" i="4"/>
  <c r="AG31" i="4"/>
  <c r="X158" i="4"/>
  <c r="X142" i="4"/>
  <c r="X126" i="4"/>
  <c r="X118" i="4"/>
  <c r="X110" i="4"/>
  <c r="X102" i="4"/>
  <c r="X86" i="4"/>
  <c r="X78" i="4"/>
  <c r="X62" i="4"/>
  <c r="X54" i="4"/>
  <c r="O245" i="4"/>
  <c r="O229" i="4"/>
  <c r="O221" i="4"/>
  <c r="O213" i="4"/>
  <c r="O205" i="4"/>
  <c r="O197" i="4"/>
  <c r="O157" i="4"/>
  <c r="O149" i="4"/>
  <c r="O141" i="4"/>
  <c r="O109" i="4"/>
  <c r="O101" i="4"/>
  <c r="O93" i="4"/>
  <c r="O45" i="4"/>
  <c r="F299" i="4"/>
  <c r="F283" i="4"/>
  <c r="F275" i="4"/>
  <c r="F267" i="4"/>
  <c r="F251" i="4"/>
  <c r="F243" i="4"/>
  <c r="F235" i="4"/>
  <c r="F227" i="4"/>
  <c r="F219" i="4"/>
  <c r="F211" i="4"/>
  <c r="F203" i="4"/>
  <c r="F195" i="4"/>
  <c r="F187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19" i="4"/>
  <c r="F298" i="4"/>
  <c r="F290" i="4"/>
  <c r="F282" i="4"/>
  <c r="F274" i="4"/>
  <c r="F266" i="4"/>
  <c r="F258" i="4"/>
  <c r="F250" i="4"/>
  <c r="F234" i="4"/>
  <c r="F226" i="4"/>
  <c r="F218" i="4"/>
  <c r="F202" i="4"/>
  <c r="F194" i="4"/>
  <c r="F186" i="4"/>
  <c r="F178" i="4"/>
  <c r="F170" i="4"/>
  <c r="F162" i="4"/>
  <c r="F154" i="4"/>
  <c r="F146" i="4"/>
  <c r="F138" i="4"/>
  <c r="F130" i="4"/>
  <c r="F122" i="4"/>
  <c r="F114" i="4"/>
  <c r="AP51" i="4"/>
  <c r="AP43" i="4"/>
  <c r="AP35" i="4"/>
  <c r="AP27" i="4"/>
  <c r="AG70" i="4"/>
  <c r="X157" i="4"/>
  <c r="X149" i="4"/>
  <c r="X141" i="4"/>
  <c r="X125" i="4"/>
  <c r="X117" i="4"/>
  <c r="X93" i="4"/>
  <c r="X85" i="4"/>
  <c r="X69" i="4"/>
  <c r="X61" i="4"/>
  <c r="X45" i="4"/>
  <c r="X29" i="4"/>
  <c r="O244" i="4"/>
  <c r="O220" i="4"/>
  <c r="O188" i="4"/>
  <c r="O180" i="4"/>
  <c r="O156" i="4"/>
  <c r="O132" i="4"/>
  <c r="O124" i="4"/>
  <c r="O108" i="4"/>
  <c r="O76" i="4"/>
  <c r="O52" i="4"/>
  <c r="O36" i="4"/>
  <c r="O20" i="4"/>
  <c r="AP50" i="4"/>
  <c r="AP42" i="4"/>
  <c r="AP34" i="4"/>
  <c r="AP26" i="4"/>
  <c r="AG69" i="4"/>
  <c r="AG61" i="4"/>
  <c r="AG53" i="4"/>
  <c r="AG45" i="4"/>
  <c r="AG29" i="4"/>
  <c r="X156" i="4"/>
  <c r="X148" i="4"/>
  <c r="X124" i="4"/>
  <c r="X116" i="4"/>
  <c r="X92" i="4"/>
  <c r="X84" i="4"/>
  <c r="X76" i="4"/>
  <c r="X52" i="4"/>
  <c r="X44" i="4"/>
  <c r="X36" i="4"/>
  <c r="O243" i="4"/>
  <c r="O219" i="4"/>
  <c r="O211" i="4"/>
  <c r="O203" i="4"/>
  <c r="O195" i="4"/>
  <c r="O171" i="4"/>
  <c r="O147" i="4"/>
  <c r="O131" i="4"/>
  <c r="O123" i="4"/>
  <c r="O99" i="4"/>
  <c r="O91" i="4"/>
  <c r="O75" i="4"/>
  <c r="O67" i="4"/>
  <c r="O35" i="4"/>
  <c r="O19" i="4"/>
  <c r="F15" i="4"/>
  <c r="F305" i="4"/>
  <c r="F297" i="4"/>
  <c r="F289" i="4"/>
  <c r="F281" i="4"/>
  <c r="F273" i="4"/>
  <c r="F265" i="4"/>
  <c r="F257" i="4"/>
  <c r="F241" i="4"/>
  <c r="F233" i="4"/>
  <c r="F225" i="4"/>
  <c r="F217" i="4"/>
  <c r="F209" i="4"/>
  <c r="F193" i="4"/>
  <c r="F185" i="4"/>
  <c r="F177" i="4"/>
  <c r="F169" i="4"/>
  <c r="F161" i="4"/>
  <c r="F153" i="4"/>
  <c r="F137" i="4"/>
  <c r="F129" i="4"/>
  <c r="F121" i="4"/>
  <c r="F113" i="4"/>
  <c r="F105" i="4"/>
  <c r="F97" i="4"/>
  <c r="F81" i="4"/>
  <c r="F73" i="4"/>
  <c r="F65" i="4"/>
  <c r="F57" i="4"/>
  <c r="F49" i="4"/>
  <c r="F33" i="4"/>
  <c r="F25" i="4"/>
  <c r="F17" i="4"/>
  <c r="AG22" i="4"/>
  <c r="AP49" i="4"/>
  <c r="AP41" i="4"/>
  <c r="AP33" i="4"/>
  <c r="AP25" i="4"/>
  <c r="AG76" i="4"/>
  <c r="AG44" i="4"/>
  <c r="X147" i="4"/>
  <c r="X115" i="4"/>
  <c r="X107" i="4"/>
  <c r="X99" i="4"/>
  <c r="X91" i="4"/>
  <c r="X83" i="4"/>
  <c r="X67" i="4"/>
  <c r="X59" i="4"/>
  <c r="X51" i="4"/>
  <c r="X43" i="4"/>
  <c r="X35" i="4"/>
  <c r="F22" i="4"/>
  <c r="F34" i="4"/>
  <c r="F44" i="4"/>
  <c r="F56" i="4"/>
  <c r="F69" i="4"/>
  <c r="F102" i="4"/>
  <c r="F116" i="4"/>
  <c r="F160" i="4"/>
  <c r="F190" i="4"/>
  <c r="F205" i="4"/>
  <c r="F220" i="4"/>
  <c r="F236" i="4"/>
  <c r="F248" i="4"/>
  <c r="F277" i="4"/>
  <c r="O14" i="4"/>
  <c r="O64" i="4"/>
  <c r="O74" i="4"/>
  <c r="O135" i="4"/>
  <c r="O160" i="4"/>
  <c r="O170" i="4"/>
  <c r="X65" i="4"/>
  <c r="X97" i="4"/>
  <c r="X129" i="4"/>
  <c r="X153" i="4"/>
  <c r="AP39" i="4"/>
  <c r="X145" i="4"/>
  <c r="F24" i="4"/>
  <c r="F36" i="4"/>
  <c r="F45" i="4"/>
  <c r="F58" i="4"/>
  <c r="F70" i="4"/>
  <c r="F80" i="4"/>
  <c r="F92" i="4"/>
  <c r="F104" i="4"/>
  <c r="F133" i="4"/>
  <c r="F148" i="4"/>
  <c r="F164" i="4"/>
  <c r="F192" i="4"/>
  <c r="F206" i="4"/>
  <c r="F262" i="4"/>
  <c r="F278" i="4"/>
  <c r="O15" i="4"/>
  <c r="O88" i="4"/>
  <c r="O114" i="4"/>
  <c r="O226" i="4"/>
  <c r="AP47" i="4"/>
  <c r="X121" i="4"/>
  <c r="AG34" i="4"/>
  <c r="F37" i="4"/>
  <c r="F60" i="4"/>
  <c r="F82" i="4"/>
  <c r="F106" i="4"/>
  <c r="F134" i="4"/>
  <c r="F149" i="4"/>
  <c r="F165" i="4"/>
  <c r="F180" i="4"/>
  <c r="F196" i="4"/>
  <c r="F222" i="4"/>
  <c r="F238" i="4"/>
  <c r="F252" i="4"/>
  <c r="F264" i="4"/>
  <c r="F280" i="4"/>
  <c r="F308" i="4"/>
  <c r="O16" i="4"/>
  <c r="O48" i="4"/>
  <c r="O58" i="4"/>
  <c r="O104" i="4"/>
  <c r="O183" i="4"/>
  <c r="O192" i="4"/>
  <c r="O216" i="4"/>
  <c r="X56" i="4"/>
  <c r="X113" i="4"/>
  <c r="AN4" i="4"/>
  <c r="K10" i="1" s="1"/>
  <c r="F26" i="4"/>
  <c r="F118" i="4"/>
  <c r="F38" i="4"/>
  <c r="F48" i="4"/>
  <c r="F61" i="4"/>
  <c r="F72" i="4"/>
  <c r="F94" i="4"/>
  <c r="F108" i="4"/>
  <c r="F120" i="4"/>
  <c r="F136" i="4"/>
  <c r="F150" i="4"/>
  <c r="F166" i="4"/>
  <c r="F181" i="4"/>
  <c r="F197" i="4"/>
  <c r="F224" i="4"/>
  <c r="F240" i="4"/>
  <c r="F253" i="4"/>
  <c r="F268" i="4"/>
  <c r="F284" i="4"/>
  <c r="F296" i="4"/>
  <c r="F309" i="4"/>
  <c r="O80" i="4"/>
  <c r="O106" i="4"/>
  <c r="O127" i="4"/>
  <c r="O138" i="4"/>
  <c r="O151" i="4"/>
  <c r="X72" i="4"/>
  <c r="X88" i="4"/>
  <c r="AE4" i="4"/>
  <c r="K9" i="1" s="1"/>
  <c r="V4" i="4"/>
  <c r="K8" i="1" s="1"/>
  <c r="M4" i="4"/>
  <c r="K7" i="1" s="1"/>
  <c r="AD9" i="3"/>
  <c r="AD12" i="3"/>
  <c r="AD13" i="3"/>
  <c r="AD14" i="3"/>
  <c r="AD15" i="3"/>
  <c r="X15" i="3"/>
  <c r="X23" i="3"/>
  <c r="X31" i="3"/>
  <c r="X24" i="3"/>
  <c r="X32" i="3"/>
  <c r="X9" i="3"/>
  <c r="V3" i="3" s="1"/>
  <c r="X17" i="3"/>
  <c r="X10" i="3"/>
  <c r="X11" i="3"/>
  <c r="X19" i="3"/>
  <c r="X27" i="3"/>
  <c r="X12" i="3"/>
  <c r="X28" i="3"/>
  <c r="X21" i="3"/>
  <c r="R13" i="3"/>
  <c r="R29" i="3"/>
  <c r="R37" i="3"/>
  <c r="R61" i="3"/>
  <c r="R69" i="3"/>
  <c r="R85" i="3"/>
  <c r="R31" i="3"/>
  <c r="R39" i="3"/>
  <c r="R47" i="3"/>
  <c r="R55" i="3"/>
  <c r="R79" i="3"/>
  <c r="R87" i="3"/>
  <c r="R32" i="3"/>
  <c r="R40" i="3"/>
  <c r="R48" i="3"/>
  <c r="R56" i="3"/>
  <c r="R64" i="3"/>
  <c r="R88" i="3"/>
  <c r="R9" i="3"/>
  <c r="R17" i="3"/>
  <c r="R25" i="3"/>
  <c r="R33" i="3"/>
  <c r="R41" i="3"/>
  <c r="R49" i="3"/>
  <c r="R57" i="3"/>
  <c r="R65" i="3"/>
  <c r="R89" i="3"/>
  <c r="F8" i="1"/>
  <c r="R10" i="3"/>
  <c r="R18" i="3"/>
  <c r="R26" i="3"/>
  <c r="R34" i="3"/>
  <c r="R42" i="3"/>
  <c r="R50" i="3"/>
  <c r="R58" i="3"/>
  <c r="R66" i="3"/>
  <c r="R74" i="3"/>
  <c r="R82" i="3"/>
  <c r="R90" i="3"/>
  <c r="R19" i="3"/>
  <c r="R27" i="3"/>
  <c r="R35" i="3"/>
  <c r="R51" i="3"/>
  <c r="R59" i="3"/>
  <c r="R67" i="3"/>
  <c r="R75" i="3"/>
  <c r="R83" i="3"/>
  <c r="R91" i="3"/>
  <c r="R12" i="3"/>
  <c r="R20" i="3"/>
  <c r="R28" i="3"/>
  <c r="R44" i="3"/>
  <c r="R60" i="3"/>
  <c r="R68" i="3"/>
  <c r="R76" i="3"/>
  <c r="R84" i="3"/>
  <c r="G9" i="1"/>
  <c r="P3" i="3"/>
  <c r="F27" i="3"/>
  <c r="F33" i="3"/>
  <c r="F9" i="3"/>
  <c r="F31" i="3"/>
  <c r="F21" i="3"/>
  <c r="I10" i="1"/>
  <c r="I9" i="1"/>
  <c r="F44" i="2"/>
  <c r="F52" i="2"/>
  <c r="F60" i="2"/>
  <c r="F68" i="2"/>
  <c r="F76" i="2"/>
  <c r="F84" i="2"/>
  <c r="F92" i="2"/>
  <c r="F100" i="2"/>
  <c r="F108" i="2"/>
  <c r="F116" i="2"/>
  <c r="F124" i="2"/>
  <c r="F132" i="2"/>
  <c r="F140" i="2"/>
  <c r="F148" i="2"/>
  <c r="F156" i="2"/>
  <c r="F164" i="2"/>
  <c r="F180" i="2"/>
  <c r="F188" i="2"/>
  <c r="F212" i="2"/>
  <c r="F220" i="2"/>
  <c r="F228" i="2"/>
  <c r="F236" i="2"/>
  <c r="F244" i="2"/>
  <c r="F260" i="2"/>
  <c r="F268" i="2"/>
  <c r="F276" i="2"/>
  <c r="F284" i="2"/>
  <c r="F292" i="2"/>
  <c r="F300" i="2"/>
  <c r="F308" i="2"/>
  <c r="D4" i="2"/>
  <c r="I6" i="1" s="1"/>
  <c r="F39" i="2"/>
  <c r="F47" i="2"/>
  <c r="F55" i="2"/>
  <c r="F63" i="2"/>
  <c r="F71" i="2"/>
  <c r="F79" i="2"/>
  <c r="F87" i="2"/>
  <c r="F95" i="2"/>
  <c r="F103" i="2"/>
  <c r="F111" i="2"/>
  <c r="F119" i="2"/>
  <c r="F127" i="2"/>
  <c r="F135" i="2"/>
  <c r="F143" i="2"/>
  <c r="F151" i="2"/>
  <c r="F159" i="2"/>
  <c r="F167" i="2"/>
  <c r="F183" i="2"/>
  <c r="F191" i="2"/>
  <c r="F199" i="2"/>
  <c r="F207" i="2"/>
  <c r="F215" i="2"/>
  <c r="F223" i="2"/>
  <c r="F231" i="2"/>
  <c r="F239" i="2"/>
  <c r="F247" i="2"/>
  <c r="F255" i="2"/>
  <c r="F263" i="2"/>
  <c r="F271" i="2"/>
  <c r="F279" i="2"/>
  <c r="F295" i="2"/>
  <c r="F296" i="2"/>
  <c r="F304" i="2"/>
  <c r="F40" i="2"/>
  <c r="F48" i="2"/>
  <c r="F56" i="2"/>
  <c r="F64" i="2"/>
  <c r="F88" i="2"/>
  <c r="F96" i="2"/>
  <c r="F104" i="2"/>
  <c r="F112" i="2"/>
  <c r="F136" i="2"/>
  <c r="F144" i="2"/>
  <c r="F160" i="2"/>
  <c r="F168" i="2"/>
  <c r="F176" i="2"/>
  <c r="F184" i="2"/>
  <c r="F192" i="2"/>
  <c r="F200" i="2"/>
  <c r="F208" i="2"/>
  <c r="F216" i="2"/>
  <c r="F224" i="2"/>
  <c r="F232" i="2"/>
  <c r="F240" i="2"/>
  <c r="F248" i="2"/>
  <c r="F256" i="2"/>
  <c r="F264" i="2"/>
  <c r="F272" i="2"/>
  <c r="F280" i="2"/>
  <c r="F41" i="2"/>
  <c r="F49" i="2"/>
  <c r="F57" i="2"/>
  <c r="F65" i="2"/>
  <c r="F73" i="2"/>
  <c r="F81" i="2"/>
  <c r="F89" i="2"/>
  <c r="F121" i="2"/>
  <c r="F129" i="2"/>
  <c r="F145" i="2"/>
  <c r="F153" i="2"/>
  <c r="F161" i="2"/>
  <c r="F169" i="2"/>
  <c r="F177" i="2"/>
  <c r="F185" i="2"/>
  <c r="F193" i="2"/>
  <c r="F201" i="2"/>
  <c r="F225" i="2"/>
  <c r="F241" i="2"/>
  <c r="F249" i="2"/>
  <c r="F265" i="2"/>
  <c r="F273" i="2"/>
  <c r="F281" i="2"/>
  <c r="F297" i="2"/>
  <c r="F305" i="2"/>
  <c r="F66" i="2"/>
  <c r="F82" i="2"/>
  <c r="F98" i="2"/>
  <c r="F114" i="2"/>
  <c r="F130" i="2"/>
  <c r="F146" i="2"/>
  <c r="F162" i="2"/>
  <c r="F178" i="2"/>
  <c r="F194" i="2"/>
  <c r="F210" i="2"/>
  <c r="F226" i="2"/>
  <c r="F234" i="2"/>
  <c r="F242" i="2"/>
  <c r="F250" i="2"/>
  <c r="F258" i="2"/>
  <c r="F266" i="2"/>
  <c r="F274" i="2"/>
  <c r="F298" i="2"/>
  <c r="F306" i="2"/>
  <c r="F58" i="2"/>
  <c r="F74" i="2"/>
  <c r="F90" i="2"/>
  <c r="F106" i="2"/>
  <c r="F122" i="2"/>
  <c r="F138" i="2"/>
  <c r="F154" i="2"/>
  <c r="F170" i="2"/>
  <c r="F186" i="2"/>
  <c r="F202" i="2"/>
  <c r="F218" i="2"/>
  <c r="F43" i="2"/>
  <c r="F51" i="2"/>
  <c r="F59" i="2"/>
  <c r="F83" i="2"/>
  <c r="F91" i="2"/>
  <c r="F99" i="2"/>
  <c r="F115" i="2"/>
  <c r="F123" i="2"/>
  <c r="F131" i="2"/>
  <c r="F139" i="2"/>
  <c r="F147" i="2"/>
  <c r="F155" i="2"/>
  <c r="F163" i="2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75" i="2"/>
  <c r="F283" i="2"/>
  <c r="F291" i="2"/>
  <c r="F299" i="2"/>
  <c r="F307" i="2"/>
  <c r="I7" i="1"/>
  <c r="F33" i="2"/>
  <c r="F29" i="2"/>
  <c r="F13" i="2"/>
  <c r="G6" i="1"/>
  <c r="X16" i="2"/>
  <c r="X14" i="2"/>
  <c r="X10" i="2"/>
  <c r="AD15" i="2"/>
  <c r="AD11" i="2"/>
  <c r="X20" i="2"/>
  <c r="H6" i="1"/>
  <c r="X11" i="2"/>
  <c r="AD12" i="2"/>
  <c r="X9" i="2"/>
  <c r="AD9" i="2"/>
  <c r="AD13" i="2"/>
  <c r="AD14" i="2"/>
  <c r="AD10" i="2"/>
  <c r="X22" i="4"/>
  <c r="X26" i="4"/>
  <c r="AG16" i="4"/>
  <c r="AP22" i="4"/>
  <c r="J6" i="1"/>
  <c r="AP13" i="4"/>
  <c r="AG14" i="4"/>
  <c r="AP17" i="4"/>
  <c r="AG18" i="4"/>
  <c r="AG24" i="4"/>
  <c r="O13" i="4"/>
  <c r="AP14" i="4"/>
  <c r="AG15" i="4"/>
  <c r="AP18" i="4"/>
  <c r="AP15" i="4"/>
  <c r="AP19" i="4"/>
  <c r="AG20" i="4"/>
  <c r="X21" i="4"/>
  <c r="X28" i="4"/>
  <c r="AG13" i="4"/>
  <c r="AP16" i="4"/>
  <c r="X18" i="4"/>
  <c r="AP20" i="4"/>
  <c r="X23" i="4"/>
  <c r="F20" i="3"/>
  <c r="F29" i="3"/>
  <c r="F24" i="3"/>
  <c r="F13" i="3"/>
  <c r="F6" i="1"/>
  <c r="F28" i="3"/>
  <c r="G8" i="1"/>
  <c r="F32" i="3"/>
  <c r="F17" i="3"/>
  <c r="F12" i="3"/>
  <c r="F16" i="3"/>
  <c r="F25" i="3"/>
  <c r="G7" i="1"/>
  <c r="F19" i="3"/>
  <c r="F15" i="3"/>
  <c r="F11" i="3"/>
  <c r="F23" i="3"/>
  <c r="F34" i="3"/>
  <c r="F30" i="3"/>
  <c r="F26" i="3"/>
  <c r="F22" i="3"/>
  <c r="F18" i="3"/>
  <c r="F14" i="3"/>
  <c r="I8" i="1"/>
  <c r="R24" i="2"/>
  <c r="R19" i="2"/>
  <c r="R14" i="2"/>
  <c r="R17" i="2"/>
  <c r="J3" i="2"/>
  <c r="F36" i="2"/>
  <c r="F28" i="2"/>
  <c r="F20" i="2"/>
  <c r="F12" i="2"/>
  <c r="F27" i="2"/>
  <c r="F19" i="2"/>
  <c r="F34" i="2"/>
  <c r="F26" i="2"/>
  <c r="F18" i="2"/>
  <c r="F25" i="2"/>
  <c r="F17" i="2"/>
  <c r="F32" i="2"/>
  <c r="F24" i="2"/>
  <c r="F16" i="2"/>
  <c r="F31" i="2"/>
  <c r="F23" i="2"/>
  <c r="F15" i="2"/>
  <c r="F11" i="2"/>
  <c r="D3" i="2" s="1"/>
  <c r="F30" i="2"/>
  <c r="F22" i="2"/>
  <c r="F14" i="2"/>
  <c r="F21" i="2"/>
  <c r="AF6" i="4" l="1"/>
  <c r="V9" i="4"/>
  <c r="D6" i="4"/>
  <c r="D7" i="4" s="1"/>
  <c r="AN7" i="4"/>
  <c r="AO7" i="4" s="1"/>
  <c r="AE7" i="4"/>
  <c r="V7" i="4"/>
  <c r="W7" i="4" s="1"/>
  <c r="W6" i="4"/>
  <c r="M7" i="4"/>
  <c r="N6" i="4"/>
  <c r="V3" i="4"/>
  <c r="AE3" i="4"/>
  <c r="M3" i="4"/>
  <c r="AN3" i="4"/>
  <c r="D3" i="4"/>
  <c r="AB3" i="3"/>
  <c r="E7" i="4" l="1"/>
  <c r="D9" i="4"/>
  <c r="AF7" i="4"/>
  <c r="AE9" i="4"/>
  <c r="E6" i="4"/>
  <c r="D8" i="4"/>
  <c r="N7" i="4"/>
  <c r="M9" i="4"/>
</calcChain>
</file>

<file path=xl/sharedStrings.xml><?xml version="1.0" encoding="utf-8"?>
<sst xmlns="http://schemas.openxmlformats.org/spreadsheetml/2006/main" count="606" uniqueCount="40">
  <si>
    <t># Items to drop out of first 5</t>
  </si>
  <si>
    <t>User</t>
  </si>
  <si>
    <t>Dropped items</t>
  </si>
  <si>
    <t>Counterfactual size</t>
  </si>
  <si>
    <t>1 item dropping out</t>
  </si>
  <si>
    <t>2 items dropping out</t>
  </si>
  <si>
    <t>3 items dropping out</t>
  </si>
  <si>
    <t>5 items dropping out</t>
  </si>
  <si>
    <t>4 items dropping out</t>
  </si>
  <si>
    <t>K = 50</t>
  </si>
  <si>
    <t>K = 20</t>
  </si>
  <si>
    <t>Mean</t>
  </si>
  <si>
    <t>Variance</t>
  </si>
  <si>
    <t>Median</t>
  </si>
  <si>
    <t>Mean-50</t>
  </si>
  <si>
    <t>Median-50</t>
  </si>
  <si>
    <t>Mean-20</t>
  </si>
  <si>
    <t>Median-20</t>
  </si>
  <si>
    <t>Mean-100</t>
  </si>
  <si>
    <t>K = 100</t>
  </si>
  <si>
    <t>Median-100</t>
  </si>
  <si>
    <t>Countif</t>
  </si>
  <si>
    <t>Superset size</t>
  </si>
  <si>
    <t>Size of counterfactual set</t>
  </si>
  <si>
    <t>Number of users identified</t>
  </si>
  <si>
    <t>User/Gender table</t>
  </si>
  <si>
    <t>User ID</t>
  </si>
  <si>
    <t>Gender</t>
  </si>
  <si>
    <t>M</t>
  </si>
  <si>
    <t>F</t>
  </si>
  <si>
    <t>Countif - M</t>
  </si>
  <si>
    <t>Countif - F</t>
  </si>
  <si>
    <t>Mean - M</t>
  </si>
  <si>
    <t>Males in top 300 users</t>
  </si>
  <si>
    <t>Females in top 300 users</t>
  </si>
  <si>
    <t>Mean - F</t>
  </si>
  <si>
    <t>Males</t>
  </si>
  <si>
    <t>Females</t>
  </si>
  <si>
    <t>Superset = 100</t>
  </si>
  <si>
    <t># of users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</si>
</sst>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 * #,##0.00_ ;_ * \-#,##0.00_ ;_ * &quot;-&quot;??_ ;_ @_ "/>
    <numFmt numFmtId="164" formatCode="0.0"/>
    <numFmt numFmtId="165" formatCode="_ * #,##0_ ;_ * \-#,##0_ ;_ * &quot;-&quot;??_ ;_ @_ "/>
    <numFmt numFmtId="166" formatCode="_ * #,##0.0_ ;_ * \-#,##0.0_ ;_ * &quot;-&quot;??_ ;_ @_ "/>
  </numFmts>
  <fonts count="10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0">
    <xf numFmtId="0" fontId="0" fillId="0" borderId="0" xfId="0"/>
    <xf numFmtId="0" fontId="1" fillId="2" borderId="1" xfId="1"/>
    <xf numFmtId="0" fontId="1" fillId="2" borderId="1" xfId="1" applyAlignment="1">
      <alignment horizontal="right"/>
    </xf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5" fontId="1" fillId="2" borderId="1" xfId="2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65" fontId="1" fillId="2" borderId="7" xfId="2" applyNumberFormat="1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165" fontId="1" fillId="2" borderId="10" xfId="2" applyNumberFormat="1" applyFont="1" applyFill="1" applyBorder="1" applyAlignment="1">
      <alignment horizontal="center" vertical="center"/>
    </xf>
    <xf numFmtId="165" fontId="1" fillId="2" borderId="11" xfId="2" applyNumberFormat="1" applyFont="1" applyFill="1" applyBorder="1" applyAlignment="1">
      <alignment horizontal="center" vertical="center"/>
    </xf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0" fillId="0" borderId="0" xfId="0" applyAlignment="1">
      <alignment horizontal="left"/>
    </xf>
    <xf numFmtId="9" fontId="0" fillId="0" borderId="0" xfId="3" applyFont="1"/>
    <xf numFmtId="0" fontId="0" fillId="0" borderId="12" xfId="0" applyBorder="1"/>
    <xf numFmtId="0" fontId="0" fillId="3" borderId="12" xfId="0" applyFill="1" applyBorder="1" applyAlignment="1">
      <alignment horizontal="center"/>
    </xf>
    <xf numFmtId="166" fontId="0" fillId="0" borderId="12" xfId="2" applyNumberFormat="1" applyFont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2" builtinId="3"/>
    <cellStyle name="Normal" xfId="0" builtinId="0"/>
    <cellStyle name="Output" xfId="1" builtinId="21"/>
    <cellStyle name="Percent" xfId="3" builtinId="5"/>
  </cellStyles>
  <dxfs count="0"/>
  <tableStyles count="1" defaultTableStyle="TableStyleMedium2" defaultPivotStyle="PivotStyleLight16">
    <tableStyle name="Table Style 1" pivot="0" count="0" xr9:uid="{217A9679-0A0B-431D-B652-F649F509A27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Size of counterfactual 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634841289125184E-2"/>
          <c:y val="0.10117296226507089"/>
          <c:w val="0.89431357113247179"/>
          <c:h val="0.71530701687501164"/>
        </c:manualLayout>
      </c:layout>
      <c:lineChart>
        <c:grouping val="standard"/>
        <c:varyColors val="0"/>
        <c:ser>
          <c:idx val="0"/>
          <c:order val="0"/>
          <c:tx>
            <c:strRef>
              <c:f>'Graphs -Size'!$H$5</c:f>
              <c:strCache>
                <c:ptCount val="1"/>
                <c:pt idx="0">
                  <c:v>Mean-50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-Size'!$H$6:$H$10</c:f>
              <c:numCache>
                <c:formatCode>_ * #,##0_ ;_ * \-#,##0_ ;_ * "-"??_ ;_ @_ </c:formatCode>
                <c:ptCount val="5"/>
                <c:pt idx="0">
                  <c:v>1.4942084942084941</c:v>
                </c:pt>
                <c:pt idx="1">
                  <c:v>34</c:v>
                </c:pt>
                <c:pt idx="2">
                  <c:v>36.205479452054796</c:v>
                </c:pt>
                <c:pt idx="3">
                  <c:v>32.117647058823529</c:v>
                </c:pt>
                <c:pt idx="4">
                  <c:v>24.514285714285716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2D-4BC0-A46B-6E61094500D5}"/>
            </c:ext>
          </c:extLst>
        </c:ser>
        <c:ser>
          <c:idx val="1"/>
          <c:order val="1"/>
          <c:tx>
            <c:strRef>
              <c:f>'Graphs -Size'!$I$5</c:f>
              <c:strCache>
                <c:ptCount val="1"/>
                <c:pt idx="0">
                  <c:v>Median-50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'Graphs -Size'!$I$6:$I$10</c:f>
              <c:numCache>
                <c:formatCode>_ * #,##0_ ;_ * \-#,##0_ ;_ * "-"??_ ;_ @_ </c:formatCode>
                <c:ptCount val="5"/>
                <c:pt idx="0">
                  <c:v>1</c:v>
                </c:pt>
                <c:pt idx="1">
                  <c:v>21.5</c:v>
                </c:pt>
                <c:pt idx="2">
                  <c:v>29</c:v>
                </c:pt>
                <c:pt idx="3">
                  <c:v>23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D-4BC0-A46B-6E61094500D5}"/>
            </c:ext>
          </c:extLst>
        </c:ser>
        <c:ser>
          <c:idx val="2"/>
          <c:order val="2"/>
          <c:tx>
            <c:strRef>
              <c:f>'Graphs -Size'!$F$5</c:f>
              <c:strCache>
                <c:ptCount val="1"/>
                <c:pt idx="0">
                  <c:v>Mean-20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-Size'!$F$6:$F$10</c:f>
              <c:numCache>
                <c:formatCode>_ * #,##0_ ;_ * \-#,##0_ ;_ * "-"??_ ;_ @_ </c:formatCode>
                <c:ptCount val="5"/>
                <c:pt idx="0">
                  <c:v>1.5076923076923077</c:v>
                </c:pt>
                <c:pt idx="1">
                  <c:v>19.535714285714285</c:v>
                </c:pt>
                <c:pt idx="2">
                  <c:v>29.403225806451612</c:v>
                </c:pt>
                <c:pt idx="3">
                  <c:v>23.058823529411764</c:v>
                </c:pt>
                <c:pt idx="4">
                  <c:v>6.666666666666667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D-4BC0-A46B-6E61094500D5}"/>
            </c:ext>
          </c:extLst>
        </c:ser>
        <c:ser>
          <c:idx val="3"/>
          <c:order val="3"/>
          <c:tx>
            <c:strRef>
              <c:f>'Graphs -Size'!$G$5</c:f>
              <c:strCache>
                <c:ptCount val="1"/>
                <c:pt idx="0">
                  <c:v>Median-20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-Size'!$G$6:$G$10</c:f>
              <c:numCache>
                <c:formatCode>_ * #,##0_ ;_ * \-#,##0_ ;_ * "-"??_ ;_ @_ </c:formatCode>
                <c:ptCount val="5"/>
                <c:pt idx="0">
                  <c:v>1</c:v>
                </c:pt>
                <c:pt idx="1">
                  <c:v>14.5</c:v>
                </c:pt>
                <c:pt idx="2">
                  <c:v>17.5</c:v>
                </c:pt>
                <c:pt idx="3">
                  <c:v>18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2D-4BC0-A46B-6E61094500D5}"/>
            </c:ext>
          </c:extLst>
        </c:ser>
        <c:ser>
          <c:idx val="4"/>
          <c:order val="4"/>
          <c:tx>
            <c:strRef>
              <c:f>'Graphs -Size'!$J$5</c:f>
              <c:strCache>
                <c:ptCount val="1"/>
                <c:pt idx="0">
                  <c:v>Mean-100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-Size'!$J$6:$J$10</c:f>
              <c:numCache>
                <c:formatCode>_ * #,##0_ ;_ * \-#,##0_ ;_ * "-"??_ ;_ @_ </c:formatCode>
                <c:ptCount val="5"/>
                <c:pt idx="0">
                  <c:v>1.4883720930232558</c:v>
                </c:pt>
                <c:pt idx="1">
                  <c:v>40.518181818181816</c:v>
                </c:pt>
                <c:pt idx="2">
                  <c:v>42.149425287356323</c:v>
                </c:pt>
                <c:pt idx="3">
                  <c:v>31.25</c:v>
                </c:pt>
                <c:pt idx="4">
                  <c:v>25.91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D-472E-82AD-8B94BFA31781}"/>
            </c:ext>
          </c:extLst>
        </c:ser>
        <c:ser>
          <c:idx val="5"/>
          <c:order val="5"/>
          <c:tx>
            <c:strRef>
              <c:f>'Graphs -Size'!$K$5</c:f>
              <c:strCache>
                <c:ptCount val="1"/>
                <c:pt idx="0">
                  <c:v>Median-100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-Size'!$K$6:$K$10</c:f>
              <c:numCache>
                <c:formatCode>_ * #,##0_ ;_ * \-#,##0_ ;_ * "-"??_ ;_ @_ </c:formatCode>
                <c:ptCount val="5"/>
                <c:pt idx="0">
                  <c:v>1</c:v>
                </c:pt>
                <c:pt idx="1">
                  <c:v>26.5</c:v>
                </c:pt>
                <c:pt idx="2">
                  <c:v>29</c:v>
                </c:pt>
                <c:pt idx="3">
                  <c:v>23.5</c:v>
                </c:pt>
                <c:pt idx="4">
                  <c:v>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D-472E-82AD-8B94BFA31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548304"/>
        <c:axId val="321548720"/>
      </c:lineChart>
      <c:catAx>
        <c:axId val="32154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items to be</a:t>
                </a:r>
                <a:r>
                  <a:rPr lang="en-US" baseline="0"/>
                  <a:t> replaced out of the first 5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48720"/>
        <c:crosses val="autoZero"/>
        <c:auto val="1"/>
        <c:lblAlgn val="ctr"/>
        <c:lblOffset val="100"/>
        <c:noMultiLvlLbl val="0"/>
      </c:catAx>
      <c:valAx>
        <c:axId val="3215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</a:t>
                </a:r>
                <a:r>
                  <a:rPr lang="en-US" baseline="0"/>
                  <a:t> of counterfactual set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9297288613536089E-2"/>
              <c:y val="0.39558303275964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54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users</a:t>
            </a:r>
            <a:r>
              <a:rPr lang="en-US" baseline="0"/>
              <a:t> identified</a:t>
            </a:r>
            <a:endParaRPr lang="en-US"/>
          </a:p>
        </c:rich>
      </c:tx>
      <c:layout>
        <c:manualLayout>
          <c:xMode val="edge"/>
          <c:yMode val="edge"/>
          <c:x val="0.40544697031122806"/>
          <c:y val="3.124119996357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'Graphs -Size'!$O$5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-Size'!$O$6:$O$10</c:f>
              <c:numCache>
                <c:formatCode>General</c:formatCode>
                <c:ptCount val="5"/>
                <c:pt idx="0">
                  <c:v>260</c:v>
                </c:pt>
                <c:pt idx="1">
                  <c:v>140</c:v>
                </c:pt>
                <c:pt idx="2">
                  <c:v>62</c:v>
                </c:pt>
                <c:pt idx="3">
                  <c:v>17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5-4CC8-B4AA-A37B877E02AD}"/>
            </c:ext>
          </c:extLst>
        </c:ser>
        <c:ser>
          <c:idx val="1"/>
          <c:order val="1"/>
          <c:tx>
            <c:strRef>
              <c:f>'Graphs -Size'!$P$5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'Graphs -Size'!$P$6:$P$10</c:f>
              <c:numCache>
                <c:formatCode>General</c:formatCode>
                <c:ptCount val="5"/>
                <c:pt idx="0">
                  <c:v>259</c:v>
                </c:pt>
                <c:pt idx="1">
                  <c:v>124</c:v>
                </c:pt>
                <c:pt idx="2">
                  <c:v>73</c:v>
                </c:pt>
                <c:pt idx="3">
                  <c:v>17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85-4CC8-B4AA-A37B877E02AD}"/>
            </c:ext>
          </c:extLst>
        </c:ser>
        <c:ser>
          <c:idx val="2"/>
          <c:order val="2"/>
          <c:tx>
            <c:strRef>
              <c:f>'Graphs -Size'!$Q$5</c:f>
              <c:strCache>
                <c:ptCount val="1"/>
                <c:pt idx="0">
                  <c:v>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'Graphs -Size'!$Q$6:$Q$10</c:f>
              <c:numCache>
                <c:formatCode>General</c:formatCode>
                <c:ptCount val="5"/>
                <c:pt idx="0">
                  <c:v>258</c:v>
                </c:pt>
                <c:pt idx="1">
                  <c:v>110</c:v>
                </c:pt>
                <c:pt idx="2">
                  <c:v>87</c:v>
                </c:pt>
                <c:pt idx="3">
                  <c:v>24</c:v>
                </c:pt>
                <c:pt idx="4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85-4CC8-B4AA-A37B877E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139791"/>
        <c:axId val="917137711"/>
      </c:lineChart>
      <c:catAx>
        <c:axId val="917139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items to be replaced out of the first 5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137711"/>
        <c:crosses val="autoZero"/>
        <c:auto val="1"/>
        <c:lblAlgn val="ctr"/>
        <c:lblOffset val="100"/>
        <c:noMultiLvlLbl val="0"/>
      </c:catAx>
      <c:valAx>
        <c:axId val="91713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users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139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Potentia</a:t>
            </a:r>
            <a:r>
              <a:rPr lang="en-US" baseline="0"/>
              <a:t>l g</a:t>
            </a:r>
            <a:r>
              <a:rPr lang="en-US"/>
              <a:t>ender</a:t>
            </a:r>
            <a:r>
              <a:rPr lang="en-US" baseline="0"/>
              <a:t> biases in s</a:t>
            </a:r>
            <a:r>
              <a:rPr lang="en-US"/>
              <a:t>ize</a:t>
            </a:r>
            <a:r>
              <a:rPr lang="en-US" baseline="0"/>
              <a:t> of counterfactual set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'Graphs - Male Female'!$F$4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'Graphs - Male Female'!$F$5:$F$9</c:f>
              <c:numCache>
                <c:formatCode>_ * #,##0.0_ ;_ * \-#,##0.0_ ;_ * "-"??_ ;_ @_ </c:formatCode>
                <c:ptCount val="5"/>
                <c:pt idx="0">
                  <c:v>1.6089385474860336</c:v>
                </c:pt>
                <c:pt idx="1">
                  <c:v>44.38961038961039</c:v>
                </c:pt>
                <c:pt idx="2">
                  <c:v>46.483333333333334</c:v>
                </c:pt>
                <c:pt idx="3">
                  <c:v>31.8</c:v>
                </c:pt>
                <c:pt idx="4">
                  <c:v>30.068965517241381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9-4C52-9615-FCC1E0A234D8}"/>
            </c:ext>
          </c:extLst>
        </c:ser>
        <c:ser>
          <c:idx val="1"/>
          <c:order val="1"/>
          <c:tx>
            <c:strRef>
              <c:f>'Graphs - Male Female'!$G$4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'Graphs - Male Female'!$G$5:$G$9</c:f>
              <c:numCache>
                <c:formatCode>_ * #,##0.0_ ;_ * \-#,##0.0_ ;_ * "-"??_ ;_ @_ </c:formatCode>
                <c:ptCount val="5"/>
                <c:pt idx="0">
                  <c:v>1.2151898734177216</c:v>
                </c:pt>
                <c:pt idx="1">
                  <c:v>31.484848484848484</c:v>
                </c:pt>
                <c:pt idx="2">
                  <c:v>32.518518518518519</c:v>
                </c:pt>
                <c:pt idx="3">
                  <c:v>28.5</c:v>
                </c:pt>
                <c:pt idx="4">
                  <c:v>18.53846153846154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9-4C52-9615-FCC1E0A23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15279"/>
        <c:axId val="329317359"/>
      </c:barChart>
      <c:catAx>
        <c:axId val="329315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items to be replaced out of the first 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7359"/>
        <c:crosses val="autoZero"/>
        <c:auto val="1"/>
        <c:lblAlgn val="ctr"/>
        <c:lblOffset val="100"/>
        <c:noMultiLvlLbl val="0"/>
      </c:catAx>
      <c:valAx>
        <c:axId val="32931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</a:t>
                </a:r>
                <a:r>
                  <a:rPr lang="en-US" baseline="0"/>
                  <a:t> of counterfactual set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 * #,##0.0_ ;_ * \-#,##0.0_ ;_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Gender biases in the number of identified counterfactuals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'Graphs - Male Female'!$L$4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- Male Female'!$L$5:$L$9</c:f>
              <c:numCache>
                <c:formatCode>General</c:formatCode>
                <c:ptCount val="5"/>
                <c:pt idx="0">
                  <c:v>179</c:v>
                </c:pt>
                <c:pt idx="1">
                  <c:v>77</c:v>
                </c:pt>
                <c:pt idx="2">
                  <c:v>60</c:v>
                </c:pt>
                <c:pt idx="3">
                  <c:v>20</c:v>
                </c:pt>
                <c:pt idx="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E-4547-9FA3-4276AB3E6EFF}"/>
            </c:ext>
          </c:extLst>
        </c:ser>
        <c:ser>
          <c:idx val="1"/>
          <c:order val="1"/>
          <c:tx>
            <c:strRef>
              <c:f>'Graphs - Male Female'!$M$4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- Male Female'!$M$5:$M$9</c:f>
              <c:numCache>
                <c:formatCode>General</c:formatCode>
                <c:ptCount val="5"/>
                <c:pt idx="0">
                  <c:v>79</c:v>
                </c:pt>
                <c:pt idx="1">
                  <c:v>33</c:v>
                </c:pt>
                <c:pt idx="2">
                  <c:v>27</c:v>
                </c:pt>
                <c:pt idx="3">
                  <c:v>4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2E-4547-9FA3-4276AB3E6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9315279"/>
        <c:axId val="329317359"/>
      </c:barChart>
      <c:catAx>
        <c:axId val="329315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Number of items to be replaced out of the first 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7359"/>
        <c:crosses val="autoZero"/>
        <c:auto val="1"/>
        <c:lblAlgn val="ctr"/>
        <c:lblOffset val="100"/>
        <c:noMultiLvlLbl val="0"/>
      </c:catAx>
      <c:valAx>
        <c:axId val="32931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242569</xdr:colOff>
      <xdr:row>11</xdr:row>
      <xdr:rowOff>112607</xdr:rowOff>
    </xdr:from>
    <xdr:to>
      <xdr:col>11</xdr:col>
      <xdr:colOff>8466</xdr:colOff>
      <xdr:row>36</xdr:row>
      <xdr:rowOff>5926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A33474-4AF0-2950-F28F-19A24F449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143932</xdr:colOff>
      <xdr:row>11</xdr:row>
      <xdr:rowOff>110065</xdr:rowOff>
    </xdr:from>
    <xdr:to>
      <xdr:col>17</xdr:col>
      <xdr:colOff>410633</xdr:colOff>
      <xdr:row>29</xdr:row>
      <xdr:rowOff>160866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F21B45-9BA3-29E0-2C22-B6C995969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329712</xdr:colOff>
      <xdr:row>9</xdr:row>
      <xdr:rowOff>161925</xdr:rowOff>
    </xdr:from>
    <xdr:to>
      <xdr:col>8</xdr:col>
      <xdr:colOff>175260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F38083-EC92-2083-DA63-01F76896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10</xdr:row>
      <xdr:rowOff>0</xdr:rowOff>
    </xdr:from>
    <xdr:to>
      <xdr:col>14</xdr:col>
      <xdr:colOff>354330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7B662B-D0FC-40F6-8375-1B11AA0EE0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75B64-4FEF-4888-8CA2-941C14D822C7}">
  <dimension ref="C3:Q10"/>
  <sheetViews>
    <sheetView topLeftCell="I1" zoomScale="205" zoomScaleNormal="205" workbookViewId="0">
      <selection activeCell="M2" sqref="M2"/>
    </sheetView>
  </sheetViews>
  <sheetFormatPr defaultRowHeight="15" x14ac:dyDescent="0.25"/>
  <cols>
    <col min="2" max="2" width="6.85546875" customWidth="1"/>
    <col min="3" max="3" width="9.140625" hidden="1" customWidth="1"/>
    <col min="4" max="4" width="26.140625" customWidth="1"/>
    <col min="7" max="7" width="10.5703125" bestFit="1" customWidth="1"/>
    <col min="9" max="9" width="10.5703125" bestFit="1" customWidth="1"/>
    <col min="10" max="10" width="10" bestFit="1" customWidth="1"/>
    <col min="11" max="11" width="11.5703125" bestFit="1" customWidth="1"/>
    <col min="13" max="13" width="24.85546875" customWidth="1"/>
  </cols>
  <sheetData>
    <row r="3" spans="4:17" ht="15.75" thickBot="1" x14ac:dyDescent="0.3"/>
    <row r="4" spans="4:17" ht="14.45" customHeight="1" x14ac:dyDescent="0.25">
      <c r="D4" s="39" t="s">
        <v>23</v>
      </c>
      <c r="E4" s="40"/>
      <c r="F4" s="31" t="s">
        <v>22</v>
      </c>
      <c r="G4" s="31"/>
      <c r="H4" s="31"/>
      <c r="I4" s="31"/>
      <c r="J4" s="31"/>
      <c r="K4" s="32"/>
      <c r="M4" s="35" t="s">
        <v>24</v>
      </c>
      <c r="N4" s="36"/>
      <c r="O4" s="31" t="s">
        <v>22</v>
      </c>
      <c r="P4" s="31"/>
      <c r="Q4" s="32"/>
    </row>
    <row r="5" spans="4:17" x14ac:dyDescent="0.25">
      <c r="D5" s="41"/>
      <c r="E5" s="42"/>
      <c r="F5" s="15" t="s">
        <v>16</v>
      </c>
      <c r="G5" s="15" t="s">
        <v>17</v>
      </c>
      <c r="H5" s="15" t="s">
        <v>14</v>
      </c>
      <c r="I5" s="15" t="s">
        <v>15</v>
      </c>
      <c r="J5" s="15" t="s">
        <v>18</v>
      </c>
      <c r="K5" s="16" t="s">
        <v>20</v>
      </c>
      <c r="M5" s="37"/>
      <c r="N5" s="38"/>
      <c r="O5" s="15">
        <v>20</v>
      </c>
      <c r="P5" s="15">
        <v>50</v>
      </c>
      <c r="Q5" s="16">
        <v>100</v>
      </c>
    </row>
    <row r="6" spans="4:17" x14ac:dyDescent="0.25">
      <c r="D6" s="33" t="s">
        <v>0</v>
      </c>
      <c r="E6" s="17">
        <v>1</v>
      </c>
      <c r="F6" s="14">
        <f>'K20'!D2</f>
        <v>1.5076923076923077</v>
      </c>
      <c r="G6" s="14">
        <f>'K20'!D4</f>
        <v>1</v>
      </c>
      <c r="H6" s="14">
        <f>'K50'!D2</f>
        <v>1.4942084942084941</v>
      </c>
      <c r="I6" s="14">
        <f>'K50'!D4</f>
        <v>1</v>
      </c>
      <c r="J6" s="14">
        <f>'K100'!D2</f>
        <v>1.4883720930232558</v>
      </c>
      <c r="K6" s="18">
        <f>'K100'!D4</f>
        <v>1</v>
      </c>
      <c r="M6" s="33" t="s">
        <v>0</v>
      </c>
      <c r="N6" s="17">
        <v>1</v>
      </c>
      <c r="O6" s="22">
        <f>'K20'!D5</f>
        <v>260</v>
      </c>
      <c r="P6" s="22">
        <f>'K50'!D5</f>
        <v>259</v>
      </c>
      <c r="Q6" s="23">
        <f>'K100'!D5</f>
        <v>258</v>
      </c>
    </row>
    <row r="7" spans="4:17" x14ac:dyDescent="0.25">
      <c r="D7" s="33"/>
      <c r="E7" s="17">
        <v>2</v>
      </c>
      <c r="F7" s="14">
        <f>'K20'!J2</f>
        <v>19.535714285714285</v>
      </c>
      <c r="G7" s="14">
        <f>'K20'!J4</f>
        <v>14.5</v>
      </c>
      <c r="H7" s="14">
        <f>'K50'!J2</f>
        <v>34</v>
      </c>
      <c r="I7" s="14">
        <f>'K50'!J4</f>
        <v>21.5</v>
      </c>
      <c r="J7" s="14">
        <f>'K100'!M2</f>
        <v>40.518181818181816</v>
      </c>
      <c r="K7" s="18">
        <f>'K100'!M4</f>
        <v>26.5</v>
      </c>
      <c r="M7" s="33"/>
      <c r="N7" s="17">
        <v>2</v>
      </c>
      <c r="O7" s="22">
        <f>'K20'!J5</f>
        <v>140</v>
      </c>
      <c r="P7" s="22">
        <f>'K50'!J5</f>
        <v>124</v>
      </c>
      <c r="Q7" s="23">
        <f>'K100'!M5</f>
        <v>110</v>
      </c>
    </row>
    <row r="8" spans="4:17" x14ac:dyDescent="0.25">
      <c r="D8" s="33"/>
      <c r="E8" s="17">
        <v>3</v>
      </c>
      <c r="F8" s="14">
        <f>'K20'!P2</f>
        <v>29.403225806451612</v>
      </c>
      <c r="G8" s="14">
        <f>'K20'!P4</f>
        <v>17.5</v>
      </c>
      <c r="H8" s="14">
        <f>'K50'!P2</f>
        <v>36.205479452054796</v>
      </c>
      <c r="I8" s="14">
        <f>'K50'!P4</f>
        <v>29</v>
      </c>
      <c r="J8" s="14">
        <f>'K100'!V2</f>
        <v>42.149425287356323</v>
      </c>
      <c r="K8" s="18">
        <f>'K100'!V4</f>
        <v>29</v>
      </c>
      <c r="M8" s="33"/>
      <c r="N8" s="17">
        <v>3</v>
      </c>
      <c r="O8" s="22">
        <f>'K20'!P5</f>
        <v>62</v>
      </c>
      <c r="P8" s="22">
        <f>'K50'!P5</f>
        <v>73</v>
      </c>
      <c r="Q8" s="23">
        <f>'K100'!V5</f>
        <v>87</v>
      </c>
    </row>
    <row r="9" spans="4:17" x14ac:dyDescent="0.25">
      <c r="D9" s="33"/>
      <c r="E9" s="17">
        <v>4</v>
      </c>
      <c r="F9" s="14">
        <f>'K20'!V2</f>
        <v>23.058823529411764</v>
      </c>
      <c r="G9" s="14">
        <f>'K20'!V4</f>
        <v>18</v>
      </c>
      <c r="H9" s="14">
        <f>'K50'!V2</f>
        <v>32.117647058823529</v>
      </c>
      <c r="I9" s="14">
        <f>'K50'!V4</f>
        <v>23</v>
      </c>
      <c r="J9" s="14">
        <f>'K100'!AE2</f>
        <v>31.25</v>
      </c>
      <c r="K9" s="18">
        <f>'K100'!AE4</f>
        <v>23.5</v>
      </c>
      <c r="M9" s="33"/>
      <c r="N9" s="17">
        <v>4</v>
      </c>
      <c r="O9" s="22">
        <f>'K20'!V5</f>
        <v>17</v>
      </c>
      <c r="P9" s="22">
        <f>'K50'!V5</f>
        <v>17</v>
      </c>
      <c r="Q9" s="23">
        <f>'K100'!AE5</f>
        <v>24</v>
      </c>
    </row>
    <row r="10" spans="4:17" ht="15.75" thickBot="1" x14ac:dyDescent="0.3">
      <c r="D10" s="34"/>
      <c r="E10" s="19">
        <v>5</v>
      </c>
      <c r="F10" s="20">
        <f>'K20'!AB2</f>
        <v>6.666666666666667</v>
      </c>
      <c r="G10" s="20">
        <f>'K20'!AB4</f>
        <v>6</v>
      </c>
      <c r="H10" s="20">
        <f>'K50'!AB2</f>
        <v>24.514285714285716</v>
      </c>
      <c r="I10" s="20">
        <f>'K50'!AB4</f>
        <v>15</v>
      </c>
      <c r="J10" s="20">
        <v>25.91</v>
      </c>
      <c r="K10" s="21">
        <f>'K100'!AN4</f>
        <v>17.5</v>
      </c>
      <c r="M10" s="34"/>
      <c r="N10" s="19">
        <v>5</v>
      </c>
      <c r="O10" s="24">
        <f>'K20'!AB5</f>
        <v>7</v>
      </c>
      <c r="P10" s="24">
        <f>'K50'!AB5</f>
        <v>35</v>
      </c>
      <c r="Q10" s="25">
        <f>'K100'!AN5</f>
        <v>42</v>
      </c>
    </row>
  </sheetData>
  <mergeCells count="6">
    <mergeCell ref="O4:Q4"/>
    <mergeCell ref="D6:D10"/>
    <mergeCell ref="F4:K4"/>
    <mergeCell ref="M6:M10"/>
    <mergeCell ref="M4:N5"/>
    <mergeCell ref="D4:E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9EE9-B671-497C-B701-636DD4054D5A}">
  <dimension ref="D3:M9"/>
  <sheetViews>
    <sheetView tabSelected="1" topLeftCell="A13" zoomScale="130" zoomScaleNormal="130" workbookViewId="0">
      <selection activeCell="I22" sqref="I22"/>
    </sheetView>
  </sheetViews>
  <sheetFormatPr defaultRowHeight="15" x14ac:dyDescent="0.25"/>
  <cols>
    <col min="4" max="4" width="22.85546875" bestFit="1" customWidth="1"/>
    <col min="10" max="10" width="25.28515625" customWidth="1"/>
  </cols>
  <sheetData>
    <row r="3" spans="4:13" x14ac:dyDescent="0.25">
      <c r="D3" s="43" t="s">
        <v>23</v>
      </c>
      <c r="E3" s="43"/>
      <c r="F3" s="28" t="s">
        <v>38</v>
      </c>
      <c r="G3" s="28"/>
      <c r="J3" s="43" t="s">
        <v>39</v>
      </c>
      <c r="K3" s="43"/>
      <c r="L3" s="28" t="s">
        <v>38</v>
      </c>
      <c r="M3" s="28"/>
    </row>
    <row r="4" spans="4:13" x14ac:dyDescent="0.25">
      <c r="D4" s="43"/>
      <c r="E4" s="43"/>
      <c r="F4" s="28" t="s">
        <v>36</v>
      </c>
      <c r="G4" s="28" t="s">
        <v>37</v>
      </c>
      <c r="J4" s="43"/>
      <c r="K4" s="43"/>
      <c r="L4" s="28" t="s">
        <v>36</v>
      </c>
      <c r="M4" s="28" t="s">
        <v>37</v>
      </c>
    </row>
    <row r="5" spans="4:13" x14ac:dyDescent="0.25">
      <c r="D5" s="44" t="s">
        <v>0</v>
      </c>
      <c r="E5" s="29">
        <v>1</v>
      </c>
      <c r="F5" s="30">
        <f>'K100'!D8</f>
        <v>1.6089385474860336</v>
      </c>
      <c r="G5" s="30">
        <f>'K100'!D9</f>
        <v>1.2151898734177216</v>
      </c>
      <c r="J5" s="44" t="str">
        <f>D5</f>
        <v># Items to drop out of first 5</v>
      </c>
      <c r="K5" s="29">
        <v>1</v>
      </c>
      <c r="L5" s="28">
        <f>'K100'!D6</f>
        <v>179</v>
      </c>
      <c r="M5" s="28">
        <f>'K100'!D7</f>
        <v>79</v>
      </c>
    </row>
    <row r="6" spans="4:13" x14ac:dyDescent="0.25">
      <c r="D6" s="44"/>
      <c r="E6" s="29">
        <v>2</v>
      </c>
      <c r="F6" s="30">
        <f>'K100'!M8</f>
        <v>44.38961038961039</v>
      </c>
      <c r="G6" s="30">
        <f>'K100'!M9</f>
        <v>31.484848484848484</v>
      </c>
      <c r="J6" s="44"/>
      <c r="K6" s="29">
        <v>2</v>
      </c>
      <c r="L6" s="28">
        <f>'K100'!M6</f>
        <v>77</v>
      </c>
      <c r="M6" s="28">
        <f>'K100'!M7</f>
        <v>33</v>
      </c>
    </row>
    <row r="7" spans="4:13" x14ac:dyDescent="0.25">
      <c r="D7" s="44"/>
      <c r="E7" s="29">
        <v>3</v>
      </c>
      <c r="F7" s="30">
        <f>'K100'!V8</f>
        <v>46.483333333333334</v>
      </c>
      <c r="G7" s="30">
        <f>'K100'!V9</f>
        <v>32.518518518518519</v>
      </c>
      <c r="J7" s="44"/>
      <c r="K7" s="29">
        <v>3</v>
      </c>
      <c r="L7" s="28">
        <f>'K100'!V6</f>
        <v>60</v>
      </c>
      <c r="M7" s="28">
        <f>'K100'!V7</f>
        <v>27</v>
      </c>
    </row>
    <row r="8" spans="4:13" x14ac:dyDescent="0.25">
      <c r="D8" s="44"/>
      <c r="E8" s="29">
        <v>4</v>
      </c>
      <c r="F8" s="30">
        <f>'K100'!AE8</f>
        <v>31.8</v>
      </c>
      <c r="G8" s="30">
        <f>'K100'!AE9</f>
        <v>28.5</v>
      </c>
      <c r="J8" s="44"/>
      <c r="K8" s="29">
        <v>4</v>
      </c>
      <c r="L8" s="28">
        <f>'K100'!AE6</f>
        <v>20</v>
      </c>
      <c r="M8" s="28">
        <f>'K100'!AE7</f>
        <v>4</v>
      </c>
    </row>
    <row r="9" spans="4:13" x14ac:dyDescent="0.25">
      <c r="D9" s="44"/>
      <c r="E9" s="29">
        <v>5</v>
      </c>
      <c r="F9" s="30">
        <f>'K100'!AN8</f>
        <v>30.068965517241381</v>
      </c>
      <c r="G9" s="30">
        <f>'K100'!AN9</f>
        <v>18.53846153846154</v>
      </c>
      <c r="J9" s="44"/>
      <c r="K9" s="29">
        <v>5</v>
      </c>
      <c r="L9" s="28">
        <f>'K100'!AN6</f>
        <v>29</v>
      </c>
      <c r="M9" s="28">
        <f>'K100'!AN7</f>
        <v>13</v>
      </c>
    </row>
  </sheetData>
  <mergeCells count="4">
    <mergeCell ref="D3:E4"/>
    <mergeCell ref="D5:D9"/>
    <mergeCell ref="J5:J9"/>
    <mergeCell ref="J3:K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02C7A-0826-4E05-9638-DDAE3329BCC0}">
  <dimension ref="A1:AE308"/>
  <sheetViews>
    <sheetView workbookViewId="0">
      <selection activeCell="AC19" sqref="AC19"/>
    </sheetView>
  </sheetViews>
  <sheetFormatPr defaultColWidth="5.5703125" defaultRowHeight="15" x14ac:dyDescent="0.25"/>
  <cols>
    <col min="3" max="3" width="7.5703125" bestFit="1" customWidth="1"/>
    <col min="6" max="7" width="5.5703125" hidden="1" customWidth="1"/>
    <col min="12" max="13" width="5.5703125" hidden="1" customWidth="1"/>
    <col min="16" max="16" width="6.140625" bestFit="1" customWidth="1"/>
    <col min="18" max="19" width="5.5703125" hidden="1" customWidth="1"/>
    <col min="22" max="22" width="6.140625" bestFit="1" customWidth="1"/>
    <col min="24" max="25" width="5.5703125" hidden="1" customWidth="1"/>
    <col min="28" max="28" width="6.85546875" bestFit="1" customWidth="1"/>
    <col min="30" max="31" width="5.5703125" customWidth="1"/>
  </cols>
  <sheetData>
    <row r="1" spans="1:31" x14ac:dyDescent="0.25">
      <c r="A1" s="46" t="s">
        <v>10</v>
      </c>
      <c r="B1" s="47"/>
    </row>
    <row r="2" spans="1:31" x14ac:dyDescent="0.25">
      <c r="A2" s="46"/>
      <c r="B2" s="47"/>
      <c r="C2" t="s">
        <v>11</v>
      </c>
      <c r="D2" s="10">
        <f>SUMIF(E9:E308,1,D9:D308)/COUNTIF(E9:E308,1)</f>
        <v>1.5076923076923077</v>
      </c>
      <c r="J2" s="10">
        <f>SUMIF(K9:K216,2,J9:J216)/COUNTIF(K9:K216,2)</f>
        <v>19.535714285714285</v>
      </c>
      <c r="P2" s="10">
        <f>SUMIF(Q9:Q92,3,P9:P92)/COUNTIF(Q9:Q92,3)</f>
        <v>29.403225806451612</v>
      </c>
      <c r="V2" s="10">
        <f>SUMIF(W9:W32,4,V9:V32)/COUNTIF(W9:W32,4)</f>
        <v>23.058823529411764</v>
      </c>
      <c r="AB2" s="10">
        <f>(SUMIF(AC9:AC15,5,AB9:AB15)-AB14)/(COUNTIF(AC9:AC15,5)-1)</f>
        <v>6.666666666666667</v>
      </c>
    </row>
    <row r="3" spans="1:31" x14ac:dyDescent="0.25">
      <c r="A3" s="46"/>
      <c r="B3" s="47"/>
      <c r="C3" t="s">
        <v>12</v>
      </c>
      <c r="D3" s="10">
        <f>SUM(F9:F308)/COUNT(F9:F308)</f>
        <v>2.0037869822485161</v>
      </c>
      <c r="J3" s="10">
        <f>SUM(L9:L216)/COUNT(L9:L216)</f>
        <v>377.56301020408176</v>
      </c>
      <c r="P3" s="10">
        <f>SUM(R9:R92)/COUNT(R9:R92)</f>
        <v>1246.0470863683663</v>
      </c>
      <c r="V3" s="10">
        <f>SUM(X9:X32)/COUNT(X9:X32)</f>
        <v>383.46712802768161</v>
      </c>
      <c r="AB3" s="10">
        <f>SUM(AD9:AD15)/COUNT(AD9:AD15)</f>
        <v>1386.968253968254</v>
      </c>
    </row>
    <row r="4" spans="1:31" x14ac:dyDescent="0.25">
      <c r="A4" s="46"/>
      <c r="B4" s="47"/>
      <c r="C4" t="s">
        <v>13</v>
      </c>
      <c r="D4">
        <f>MEDIAN(G9:G308)</f>
        <v>1</v>
      </c>
      <c r="J4">
        <f>MEDIAN(M9:M216)</f>
        <v>14.5</v>
      </c>
      <c r="P4">
        <f>MEDIAN(S9:S92)</f>
        <v>17.5</v>
      </c>
      <c r="V4">
        <f>MEDIAN(Y9:Y32)</f>
        <v>18</v>
      </c>
      <c r="AB4">
        <f>MEDIAN(AE9:AE15)</f>
        <v>6</v>
      </c>
    </row>
    <row r="5" spans="1:31" x14ac:dyDescent="0.25">
      <c r="A5" s="46"/>
      <c r="B5" s="47"/>
      <c r="C5" t="s">
        <v>21</v>
      </c>
      <c r="D5">
        <f>COUNTIF(E9:E308,1)</f>
        <v>260</v>
      </c>
      <c r="J5">
        <f>COUNTIF(K9:K216,2)</f>
        <v>140</v>
      </c>
      <c r="P5">
        <f>COUNTIF(Q9:Q92,3)</f>
        <v>62</v>
      </c>
      <c r="V5">
        <f>COUNTIF(W9:W32,4)</f>
        <v>17</v>
      </c>
      <c r="AB5">
        <f>COUNTIF(AC9:AC15,5)</f>
        <v>7</v>
      </c>
    </row>
    <row r="6" spans="1:31" x14ac:dyDescent="0.25">
      <c r="A6" s="46"/>
      <c r="B6" s="47"/>
    </row>
    <row r="7" spans="1:31" ht="15.75" x14ac:dyDescent="0.25">
      <c r="A7" s="47"/>
      <c r="B7" s="47"/>
      <c r="C7" s="45" t="s">
        <v>4</v>
      </c>
      <c r="D7" s="45"/>
      <c r="E7" s="45"/>
      <c r="F7" s="6"/>
      <c r="G7" s="6"/>
      <c r="H7" s="7"/>
      <c r="I7" s="45" t="s">
        <v>5</v>
      </c>
      <c r="J7" s="45"/>
      <c r="K7" s="45"/>
      <c r="L7" s="6"/>
      <c r="M7" s="6"/>
      <c r="N7" s="7"/>
      <c r="O7" s="45" t="s">
        <v>6</v>
      </c>
      <c r="P7" s="45"/>
      <c r="Q7" s="45"/>
      <c r="R7" s="6"/>
      <c r="S7" s="6"/>
      <c r="T7" s="7"/>
      <c r="U7" s="45" t="s">
        <v>8</v>
      </c>
      <c r="V7" s="45"/>
      <c r="W7" s="45"/>
      <c r="X7" s="12"/>
      <c r="Y7" s="12"/>
      <c r="Z7" s="7"/>
      <c r="AA7" s="45" t="s">
        <v>7</v>
      </c>
      <c r="AB7" s="45"/>
      <c r="AC7" s="45"/>
    </row>
    <row r="8" spans="1:31" ht="30" x14ac:dyDescent="0.25">
      <c r="C8" s="7" t="s">
        <v>1</v>
      </c>
      <c r="D8" s="7" t="s">
        <v>3</v>
      </c>
      <c r="E8" s="7" t="s">
        <v>2</v>
      </c>
      <c r="F8" s="12" t="s">
        <v>12</v>
      </c>
      <c r="G8" s="12" t="s">
        <v>13</v>
      </c>
      <c r="H8" s="7"/>
      <c r="I8" s="7" t="s">
        <v>1</v>
      </c>
      <c r="J8" s="7" t="s">
        <v>3</v>
      </c>
      <c r="K8" s="7" t="s">
        <v>2</v>
      </c>
      <c r="L8" s="12" t="s">
        <v>12</v>
      </c>
      <c r="M8" s="12" t="s">
        <v>13</v>
      </c>
      <c r="N8" s="7"/>
      <c r="O8" s="7" t="s">
        <v>1</v>
      </c>
      <c r="P8" s="7" t="s">
        <v>3</v>
      </c>
      <c r="Q8" s="7" t="s">
        <v>2</v>
      </c>
      <c r="R8" s="12" t="s">
        <v>12</v>
      </c>
      <c r="S8" s="12" t="s">
        <v>13</v>
      </c>
      <c r="T8" s="7"/>
      <c r="U8" s="7" t="s">
        <v>1</v>
      </c>
      <c r="V8" s="7" t="s">
        <v>3</v>
      </c>
      <c r="W8" s="7" t="s">
        <v>2</v>
      </c>
      <c r="X8" s="12" t="s">
        <v>12</v>
      </c>
      <c r="Y8" s="12" t="s">
        <v>13</v>
      </c>
      <c r="Z8" s="7"/>
      <c r="AA8" s="7" t="s">
        <v>1</v>
      </c>
      <c r="AB8" s="7" t="s">
        <v>3</v>
      </c>
      <c r="AC8" s="7" t="s">
        <v>2</v>
      </c>
      <c r="AD8" s="12" t="s">
        <v>12</v>
      </c>
      <c r="AE8" s="12" t="s">
        <v>13</v>
      </c>
    </row>
    <row r="9" spans="1:31" ht="15.75" x14ac:dyDescent="0.25">
      <c r="C9" s="5">
        <v>0</v>
      </c>
      <c r="D9" s="5">
        <v>1</v>
      </c>
      <c r="E9" s="5">
        <v>1</v>
      </c>
      <c r="F9" s="8">
        <f>IF(E9=1,(D9-$D$2)*(D9-$D$2),"")</f>
        <v>0.2577514792899408</v>
      </c>
      <c r="G9" s="8">
        <f>IF(E9=1,D9,"")</f>
        <v>1</v>
      </c>
      <c r="H9" s="7"/>
      <c r="I9" s="5">
        <v>0</v>
      </c>
      <c r="J9" s="5">
        <v>70</v>
      </c>
      <c r="K9" s="5">
        <v>2</v>
      </c>
      <c r="L9" s="8">
        <f>IF(K9=2,(J9-$J$2)*(J9-$J$2),"")</f>
        <v>2546.6441326530612</v>
      </c>
      <c r="M9" s="8">
        <f>IF(K9=2,J9,"")</f>
        <v>70</v>
      </c>
      <c r="N9" s="7"/>
      <c r="O9" s="7">
        <v>4</v>
      </c>
      <c r="P9" s="7">
        <v>62</v>
      </c>
      <c r="Q9" s="7">
        <v>3</v>
      </c>
      <c r="R9" s="8">
        <f>IF(Q9=3,(P9-$P$2)*(P9-$P$2),"")</f>
        <v>1062.549687825182</v>
      </c>
      <c r="S9" s="8">
        <f>IF(Q9=3,P9,"")</f>
        <v>62</v>
      </c>
      <c r="T9" s="7"/>
      <c r="U9" s="7">
        <v>11</v>
      </c>
      <c r="V9" s="7">
        <v>27</v>
      </c>
      <c r="W9" s="7">
        <v>4</v>
      </c>
      <c r="X9" s="8">
        <f>IF(W9=4,(V9-$V$2)*(V9-$V$2),"")</f>
        <v>15.532871972318341</v>
      </c>
      <c r="Y9" s="8">
        <f>IF(W9=4,V9,"")</f>
        <v>27</v>
      </c>
      <c r="Z9" s="7"/>
      <c r="AA9" s="7">
        <v>34</v>
      </c>
      <c r="AB9" s="7">
        <v>6</v>
      </c>
      <c r="AC9" s="7">
        <v>5</v>
      </c>
      <c r="AD9" s="8">
        <f>IF(AC9=5,(AB9-$AB$2)*(AB9-$AB$2),"")</f>
        <v>0.44444444444444486</v>
      </c>
      <c r="AE9" s="8">
        <f>IF(AC9=5,AB9,"")</f>
        <v>6</v>
      </c>
    </row>
    <row r="10" spans="1:31" ht="15.75" x14ac:dyDescent="0.25">
      <c r="C10" s="5">
        <v>1</v>
      </c>
      <c r="D10" s="5">
        <v>1</v>
      </c>
      <c r="E10" s="5">
        <v>2</v>
      </c>
      <c r="F10" s="8" t="str">
        <f t="shared" ref="F10:F73" si="0">IF(E10=1,(D10-$D$2)*(D10-$D$2),"")</f>
        <v/>
      </c>
      <c r="G10" s="8" t="str">
        <f t="shared" ref="G10:G73" si="1">IF(E10=1,D10,"")</f>
        <v/>
      </c>
      <c r="H10" s="7"/>
      <c r="I10" s="5">
        <v>1</v>
      </c>
      <c r="J10" s="5">
        <v>1</v>
      </c>
      <c r="K10" s="5">
        <v>2</v>
      </c>
      <c r="L10" s="8">
        <f t="shared" ref="L10:L73" si="2">IF(K10=2,(J10-$J$2)*(J10-$J$2),"")</f>
        <v>343.57270408163259</v>
      </c>
      <c r="M10" s="8">
        <f t="shared" ref="M10:M73" si="3">IF(K10=2,J10,"")</f>
        <v>1</v>
      </c>
      <c r="N10" s="7"/>
      <c r="O10" s="7">
        <v>6</v>
      </c>
      <c r="P10" s="7">
        <v>181</v>
      </c>
      <c r="Q10" s="7">
        <v>3</v>
      </c>
      <c r="R10" s="8">
        <f t="shared" ref="R10:R73" si="4">IF(Q10=3,(P10-$P$2)*(P10-$P$2),"")</f>
        <v>22981.581945889699</v>
      </c>
      <c r="S10" s="8">
        <f t="shared" ref="S10:S73" si="5">IF(Q10=3,P10,"")</f>
        <v>181</v>
      </c>
      <c r="T10" s="7"/>
      <c r="U10" s="7">
        <v>15</v>
      </c>
      <c r="V10" s="7">
        <v>8</v>
      </c>
      <c r="W10" s="7">
        <v>4</v>
      </c>
      <c r="X10" s="8">
        <f t="shared" ref="X10:X32" si="6">IF(W10=4,(V10-$V$2)*(V10-$V$2),"")</f>
        <v>226.7681660899654</v>
      </c>
      <c r="Y10" s="8">
        <f t="shared" ref="Y10:Y32" si="7">IF(W10=4,V10,"")</f>
        <v>8</v>
      </c>
      <c r="Z10" s="7"/>
      <c r="AA10" s="7">
        <v>71</v>
      </c>
      <c r="AB10" s="7">
        <v>5</v>
      </c>
      <c r="AC10" s="7">
        <v>5</v>
      </c>
      <c r="AD10" s="8">
        <f t="shared" ref="AD10:AD15" si="8">IF(AC10=5,(AB10-$AB$2)*(AB10-$AB$2),"")</f>
        <v>2.7777777777777786</v>
      </c>
      <c r="AE10" s="8">
        <f t="shared" ref="AE10:AE15" si="9">IF(AC10=5,AB10,"")</f>
        <v>5</v>
      </c>
    </row>
    <row r="11" spans="1:31" ht="15.75" x14ac:dyDescent="0.25">
      <c r="C11" s="5">
        <v>2</v>
      </c>
      <c r="D11" s="5">
        <v>1</v>
      </c>
      <c r="E11" s="5">
        <v>1</v>
      </c>
      <c r="F11" s="8">
        <f t="shared" si="0"/>
        <v>0.2577514792899408</v>
      </c>
      <c r="G11" s="8">
        <f t="shared" si="1"/>
        <v>1</v>
      </c>
      <c r="H11" s="7"/>
      <c r="I11" s="5">
        <v>2</v>
      </c>
      <c r="J11" s="5">
        <v>48</v>
      </c>
      <c r="K11" s="5">
        <v>2</v>
      </c>
      <c r="L11" s="8">
        <f t="shared" si="2"/>
        <v>810.21556122448987</v>
      </c>
      <c r="M11" s="8">
        <f t="shared" si="3"/>
        <v>48</v>
      </c>
      <c r="N11" s="7"/>
      <c r="O11" s="7">
        <v>11</v>
      </c>
      <c r="P11" s="7">
        <v>27</v>
      </c>
      <c r="Q11" s="7">
        <v>4</v>
      </c>
      <c r="R11" s="8" t="str">
        <f t="shared" si="4"/>
        <v/>
      </c>
      <c r="S11" s="8" t="str">
        <f t="shared" si="5"/>
        <v/>
      </c>
      <c r="T11" s="7"/>
      <c r="U11" s="7">
        <v>19</v>
      </c>
      <c r="V11" s="7">
        <v>18</v>
      </c>
      <c r="W11" s="7">
        <v>4</v>
      </c>
      <c r="X11" s="8">
        <f t="shared" si="6"/>
        <v>25.591695501730101</v>
      </c>
      <c r="Y11" s="8">
        <f t="shared" si="7"/>
        <v>18</v>
      </c>
      <c r="Z11" s="7"/>
      <c r="AA11" s="7">
        <v>98</v>
      </c>
      <c r="AB11" s="7">
        <v>6</v>
      </c>
      <c r="AC11" s="7">
        <v>5</v>
      </c>
      <c r="AD11" s="8">
        <f t="shared" si="8"/>
        <v>0.44444444444444486</v>
      </c>
      <c r="AE11" s="8">
        <f t="shared" si="9"/>
        <v>6</v>
      </c>
    </row>
    <row r="12" spans="1:31" ht="15.75" x14ac:dyDescent="0.25">
      <c r="C12" s="5">
        <v>3</v>
      </c>
      <c r="D12" s="5">
        <v>1</v>
      </c>
      <c r="E12" s="5">
        <v>1</v>
      </c>
      <c r="F12" s="8">
        <f t="shared" si="0"/>
        <v>0.2577514792899408</v>
      </c>
      <c r="G12" s="8">
        <f t="shared" si="1"/>
        <v>1</v>
      </c>
      <c r="H12" s="7"/>
      <c r="I12" s="5">
        <v>4</v>
      </c>
      <c r="J12" s="5">
        <v>62</v>
      </c>
      <c r="K12" s="5">
        <v>3</v>
      </c>
      <c r="L12" s="8" t="str">
        <f t="shared" si="2"/>
        <v/>
      </c>
      <c r="M12" s="8" t="str">
        <f t="shared" si="3"/>
        <v/>
      </c>
      <c r="N12" s="7"/>
      <c r="O12" s="7">
        <v>12</v>
      </c>
      <c r="P12" s="7">
        <v>29</v>
      </c>
      <c r="Q12" s="7">
        <v>3</v>
      </c>
      <c r="R12" s="8">
        <f t="shared" si="4"/>
        <v>0.16259105098855295</v>
      </c>
      <c r="S12" s="8">
        <f t="shared" si="5"/>
        <v>29</v>
      </c>
      <c r="T12" s="7"/>
      <c r="U12" s="7">
        <v>24</v>
      </c>
      <c r="V12" s="7">
        <v>84</v>
      </c>
      <c r="W12" s="7">
        <v>4</v>
      </c>
      <c r="X12" s="8">
        <f t="shared" si="6"/>
        <v>3713.8269896193769</v>
      </c>
      <c r="Y12" s="8">
        <f t="shared" si="7"/>
        <v>84</v>
      </c>
      <c r="Z12" s="7"/>
      <c r="AA12" s="7">
        <v>128</v>
      </c>
      <c r="AB12" s="7">
        <v>3</v>
      </c>
      <c r="AC12" s="7">
        <v>5</v>
      </c>
      <c r="AD12" s="8">
        <f t="shared" si="8"/>
        <v>13.444444444444446</v>
      </c>
      <c r="AE12" s="8">
        <f t="shared" si="9"/>
        <v>3</v>
      </c>
    </row>
    <row r="13" spans="1:31" ht="15.75" x14ac:dyDescent="0.25">
      <c r="C13" s="5">
        <v>4</v>
      </c>
      <c r="D13" s="5">
        <v>1</v>
      </c>
      <c r="E13" s="5">
        <v>1</v>
      </c>
      <c r="F13" s="8">
        <f t="shared" si="0"/>
        <v>0.2577514792899408</v>
      </c>
      <c r="G13" s="8">
        <f t="shared" si="1"/>
        <v>1</v>
      </c>
      <c r="H13" s="7"/>
      <c r="I13" s="5">
        <v>5</v>
      </c>
      <c r="J13" s="5">
        <v>14</v>
      </c>
      <c r="K13" s="5">
        <v>2</v>
      </c>
      <c r="L13" s="8">
        <f t="shared" si="2"/>
        <v>30.644132653061213</v>
      </c>
      <c r="M13" s="8">
        <f t="shared" si="3"/>
        <v>14</v>
      </c>
      <c r="N13" s="7"/>
      <c r="O13" s="7">
        <v>13</v>
      </c>
      <c r="P13" s="7">
        <v>20</v>
      </c>
      <c r="Q13" s="7">
        <v>3</v>
      </c>
      <c r="R13" s="8">
        <f t="shared" si="4"/>
        <v>88.420655567117578</v>
      </c>
      <c r="S13" s="8">
        <f t="shared" si="5"/>
        <v>20</v>
      </c>
      <c r="T13" s="7"/>
      <c r="U13" s="7">
        <v>34</v>
      </c>
      <c r="V13" s="7">
        <v>6</v>
      </c>
      <c r="W13" s="7">
        <v>5</v>
      </c>
      <c r="X13" s="8" t="str">
        <f t="shared" si="6"/>
        <v/>
      </c>
      <c r="Y13" s="8" t="str">
        <f t="shared" si="7"/>
        <v/>
      </c>
      <c r="Z13" s="7"/>
      <c r="AA13" s="7">
        <v>143</v>
      </c>
      <c r="AB13" s="7">
        <v>10</v>
      </c>
      <c r="AC13" s="7">
        <v>5</v>
      </c>
      <c r="AD13" s="8">
        <f t="shared" si="8"/>
        <v>11.111111111111109</v>
      </c>
      <c r="AE13" s="8">
        <f t="shared" si="9"/>
        <v>10</v>
      </c>
    </row>
    <row r="14" spans="1:31" ht="15.75" x14ac:dyDescent="0.25">
      <c r="C14" s="5">
        <v>5</v>
      </c>
      <c r="D14" s="5">
        <v>1</v>
      </c>
      <c r="E14" s="5">
        <v>1</v>
      </c>
      <c r="F14" s="8">
        <f t="shared" si="0"/>
        <v>0.2577514792899408</v>
      </c>
      <c r="G14" s="8">
        <f t="shared" si="1"/>
        <v>1</v>
      </c>
      <c r="H14" s="7"/>
      <c r="I14" s="5">
        <v>6</v>
      </c>
      <c r="J14" s="5">
        <v>181</v>
      </c>
      <c r="K14" s="5">
        <v>3</v>
      </c>
      <c r="L14" s="8" t="str">
        <f t="shared" si="2"/>
        <v/>
      </c>
      <c r="M14" s="8" t="str">
        <f t="shared" si="3"/>
        <v/>
      </c>
      <c r="N14" s="7"/>
      <c r="O14" s="7">
        <v>15</v>
      </c>
      <c r="P14" s="7">
        <v>8</v>
      </c>
      <c r="Q14" s="7">
        <v>4</v>
      </c>
      <c r="R14" s="8" t="str">
        <f t="shared" si="4"/>
        <v/>
      </c>
      <c r="S14" s="8" t="str">
        <f t="shared" si="5"/>
        <v/>
      </c>
      <c r="T14" s="7"/>
      <c r="U14" s="7">
        <v>41</v>
      </c>
      <c r="V14" s="7">
        <v>5</v>
      </c>
      <c r="W14" s="7">
        <v>4</v>
      </c>
      <c r="X14" s="8">
        <f t="shared" si="6"/>
        <v>326.12110726643596</v>
      </c>
      <c r="Y14" s="8">
        <f t="shared" si="7"/>
        <v>5</v>
      </c>
      <c r="Z14" s="7"/>
      <c r="AA14" s="7">
        <v>181</v>
      </c>
      <c r="AB14" s="7">
        <v>105</v>
      </c>
      <c r="AC14" s="7">
        <v>5</v>
      </c>
      <c r="AD14" s="8">
        <f t="shared" si="8"/>
        <v>9669.4444444444434</v>
      </c>
      <c r="AE14" s="8">
        <f t="shared" si="9"/>
        <v>105</v>
      </c>
    </row>
    <row r="15" spans="1:31" ht="15.75" x14ac:dyDescent="0.25">
      <c r="C15" s="5">
        <v>6</v>
      </c>
      <c r="D15" s="5">
        <v>5</v>
      </c>
      <c r="E15" s="5">
        <v>1</v>
      </c>
      <c r="F15" s="8">
        <f t="shared" si="0"/>
        <v>12.196213017751479</v>
      </c>
      <c r="G15" s="8">
        <f t="shared" si="1"/>
        <v>5</v>
      </c>
      <c r="H15" s="7"/>
      <c r="I15" s="5">
        <v>10</v>
      </c>
      <c r="J15" s="5">
        <v>9</v>
      </c>
      <c r="K15" s="5">
        <v>2</v>
      </c>
      <c r="L15" s="8">
        <f t="shared" si="2"/>
        <v>111.00127551020407</v>
      </c>
      <c r="M15" s="8">
        <f t="shared" si="3"/>
        <v>9</v>
      </c>
      <c r="N15" s="7"/>
      <c r="O15" s="7">
        <v>19</v>
      </c>
      <c r="P15" s="7">
        <v>18</v>
      </c>
      <c r="Q15" s="7">
        <v>4</v>
      </c>
      <c r="R15" s="8" t="str">
        <f t="shared" si="4"/>
        <v/>
      </c>
      <c r="S15" s="8" t="str">
        <f t="shared" si="5"/>
        <v/>
      </c>
      <c r="T15" s="7"/>
      <c r="U15" s="7">
        <v>44</v>
      </c>
      <c r="V15" s="7">
        <v>19</v>
      </c>
      <c r="W15" s="7">
        <v>4</v>
      </c>
      <c r="X15" s="8">
        <f t="shared" si="6"/>
        <v>16.474048442906572</v>
      </c>
      <c r="Y15" s="8">
        <f t="shared" si="7"/>
        <v>19</v>
      </c>
      <c r="Z15" s="7"/>
      <c r="AA15" s="7">
        <v>213</v>
      </c>
      <c r="AB15" s="7">
        <v>10</v>
      </c>
      <c r="AC15" s="7">
        <v>5</v>
      </c>
      <c r="AD15" s="8">
        <f t="shared" si="8"/>
        <v>11.111111111111109</v>
      </c>
      <c r="AE15" s="8">
        <f t="shared" si="9"/>
        <v>10</v>
      </c>
    </row>
    <row r="16" spans="1:31" ht="15.75" x14ac:dyDescent="0.25">
      <c r="C16" s="5">
        <v>7</v>
      </c>
      <c r="D16" s="5">
        <v>1</v>
      </c>
      <c r="E16" s="5">
        <v>1</v>
      </c>
      <c r="F16" s="8">
        <f t="shared" si="0"/>
        <v>0.2577514792899408</v>
      </c>
      <c r="G16" s="8">
        <f t="shared" si="1"/>
        <v>1</v>
      </c>
      <c r="H16" s="7"/>
      <c r="I16" s="5">
        <v>11</v>
      </c>
      <c r="J16" s="5">
        <v>27</v>
      </c>
      <c r="K16" s="5">
        <v>4</v>
      </c>
      <c r="L16" s="8" t="str">
        <f t="shared" si="2"/>
        <v/>
      </c>
      <c r="M16" s="8" t="str">
        <f t="shared" si="3"/>
        <v/>
      </c>
      <c r="N16" s="7"/>
      <c r="O16" s="7">
        <v>24</v>
      </c>
      <c r="P16" s="7">
        <v>84</v>
      </c>
      <c r="Q16" s="7">
        <v>4</v>
      </c>
      <c r="R16" s="8" t="str">
        <f t="shared" si="4"/>
        <v/>
      </c>
      <c r="S16" s="8" t="str">
        <f t="shared" si="5"/>
        <v/>
      </c>
      <c r="T16" s="7"/>
      <c r="U16" s="7">
        <v>71</v>
      </c>
      <c r="V16" s="7">
        <v>5</v>
      </c>
      <c r="W16" s="7">
        <v>5</v>
      </c>
      <c r="X16" s="8" t="str">
        <f t="shared" si="6"/>
        <v/>
      </c>
      <c r="Y16" s="8" t="str">
        <f t="shared" si="7"/>
        <v/>
      </c>
      <c r="Z16" s="7"/>
      <c r="AA16" s="7"/>
      <c r="AB16" s="7"/>
      <c r="AC16" s="7"/>
    </row>
    <row r="17" spans="3:29" ht="15.75" x14ac:dyDescent="0.25">
      <c r="C17" s="5">
        <v>8</v>
      </c>
      <c r="D17" s="5">
        <v>2</v>
      </c>
      <c r="E17" s="5">
        <v>1</v>
      </c>
      <c r="F17" s="8">
        <f t="shared" si="0"/>
        <v>0.24236686390532547</v>
      </c>
      <c r="G17" s="8">
        <f t="shared" si="1"/>
        <v>2</v>
      </c>
      <c r="H17" s="7"/>
      <c r="I17" s="5">
        <v>12</v>
      </c>
      <c r="J17" s="5">
        <v>29</v>
      </c>
      <c r="K17" s="5">
        <v>3</v>
      </c>
      <c r="L17" s="8" t="str">
        <f t="shared" si="2"/>
        <v/>
      </c>
      <c r="M17" s="8" t="str">
        <f t="shared" si="3"/>
        <v/>
      </c>
      <c r="N17" s="7"/>
      <c r="O17" s="7">
        <v>25</v>
      </c>
      <c r="P17" s="7">
        <v>7</v>
      </c>
      <c r="Q17" s="7">
        <v>3</v>
      </c>
      <c r="R17" s="8">
        <f t="shared" si="4"/>
        <v>501.90452653485949</v>
      </c>
      <c r="S17" s="8">
        <f t="shared" si="5"/>
        <v>7</v>
      </c>
      <c r="T17" s="7"/>
      <c r="U17" s="7">
        <v>77</v>
      </c>
      <c r="V17" s="7">
        <v>8</v>
      </c>
      <c r="W17" s="7">
        <v>4</v>
      </c>
      <c r="X17" s="8">
        <f t="shared" si="6"/>
        <v>226.7681660899654</v>
      </c>
      <c r="Y17" s="8">
        <f t="shared" si="7"/>
        <v>8</v>
      </c>
      <c r="Z17" s="7"/>
      <c r="AA17" s="7"/>
      <c r="AB17" s="7"/>
      <c r="AC17" s="7"/>
    </row>
    <row r="18" spans="3:29" ht="15.75" x14ac:dyDescent="0.25">
      <c r="C18" s="5">
        <v>9</v>
      </c>
      <c r="D18" s="5">
        <v>1</v>
      </c>
      <c r="E18" s="5">
        <v>1</v>
      </c>
      <c r="F18" s="8">
        <f t="shared" si="0"/>
        <v>0.2577514792899408</v>
      </c>
      <c r="G18" s="8">
        <f t="shared" si="1"/>
        <v>1</v>
      </c>
      <c r="H18" s="7"/>
      <c r="I18" s="5">
        <v>13</v>
      </c>
      <c r="J18" s="5">
        <v>20</v>
      </c>
      <c r="K18" s="5">
        <v>3</v>
      </c>
      <c r="L18" s="8" t="str">
        <f t="shared" si="2"/>
        <v/>
      </c>
      <c r="M18" s="8" t="str">
        <f t="shared" si="3"/>
        <v/>
      </c>
      <c r="N18" s="7"/>
      <c r="O18" s="7">
        <v>28</v>
      </c>
      <c r="P18" s="7">
        <v>11</v>
      </c>
      <c r="Q18" s="7">
        <v>3</v>
      </c>
      <c r="R18" s="8">
        <f t="shared" si="4"/>
        <v>338.67872008324662</v>
      </c>
      <c r="S18" s="8">
        <f t="shared" si="5"/>
        <v>11</v>
      </c>
      <c r="T18" s="7"/>
      <c r="U18" s="7">
        <v>98</v>
      </c>
      <c r="V18" s="7">
        <v>6</v>
      </c>
      <c r="W18" s="7">
        <v>5</v>
      </c>
      <c r="X18" s="8" t="str">
        <f t="shared" si="6"/>
        <v/>
      </c>
      <c r="Y18" s="8" t="str">
        <f t="shared" si="7"/>
        <v/>
      </c>
      <c r="Z18" s="7"/>
      <c r="AA18" s="7"/>
      <c r="AB18" s="7"/>
      <c r="AC18" s="7"/>
    </row>
    <row r="19" spans="3:29" ht="15.75" x14ac:dyDescent="0.25">
      <c r="C19" s="5">
        <v>10</v>
      </c>
      <c r="D19" s="5">
        <v>2</v>
      </c>
      <c r="E19" s="5">
        <v>1</v>
      </c>
      <c r="F19" s="8">
        <f t="shared" si="0"/>
        <v>0.24236686390532547</v>
      </c>
      <c r="G19" s="8">
        <f t="shared" si="1"/>
        <v>2</v>
      </c>
      <c r="H19" s="7"/>
      <c r="I19" s="5">
        <v>14</v>
      </c>
      <c r="J19" s="5">
        <v>1</v>
      </c>
      <c r="K19" s="5">
        <v>2</v>
      </c>
      <c r="L19" s="8">
        <f t="shared" si="2"/>
        <v>343.57270408163259</v>
      </c>
      <c r="M19" s="8">
        <f t="shared" si="3"/>
        <v>1</v>
      </c>
      <c r="N19" s="7"/>
      <c r="O19" s="7">
        <v>32</v>
      </c>
      <c r="P19" s="7">
        <v>11</v>
      </c>
      <c r="Q19" s="7">
        <v>3</v>
      </c>
      <c r="R19" s="8">
        <f t="shared" si="4"/>
        <v>338.67872008324662</v>
      </c>
      <c r="S19" s="8">
        <f t="shared" si="5"/>
        <v>11</v>
      </c>
      <c r="T19" s="7"/>
      <c r="U19" s="7">
        <v>119</v>
      </c>
      <c r="V19" s="7">
        <v>4</v>
      </c>
      <c r="W19" s="7">
        <v>4</v>
      </c>
      <c r="X19" s="8">
        <f t="shared" si="6"/>
        <v>363.23875432525949</v>
      </c>
      <c r="Y19" s="8">
        <f t="shared" si="7"/>
        <v>4</v>
      </c>
      <c r="Z19" s="7"/>
      <c r="AA19" s="7"/>
      <c r="AB19" s="7"/>
      <c r="AC19" s="7"/>
    </row>
    <row r="20" spans="3:29" ht="15.75" x14ac:dyDescent="0.25">
      <c r="C20" s="5">
        <v>11</v>
      </c>
      <c r="D20" s="5">
        <v>1</v>
      </c>
      <c r="E20" s="5">
        <v>1</v>
      </c>
      <c r="F20" s="8">
        <f t="shared" si="0"/>
        <v>0.2577514792899408</v>
      </c>
      <c r="G20" s="8">
        <f t="shared" si="1"/>
        <v>1</v>
      </c>
      <c r="H20" s="7"/>
      <c r="I20" s="5">
        <v>15</v>
      </c>
      <c r="J20" s="5">
        <v>8</v>
      </c>
      <c r="K20" s="5">
        <v>4</v>
      </c>
      <c r="L20" s="8" t="str">
        <f t="shared" si="2"/>
        <v/>
      </c>
      <c r="M20" s="8" t="str">
        <f t="shared" si="3"/>
        <v/>
      </c>
      <c r="N20" s="7"/>
      <c r="O20" s="7">
        <v>33</v>
      </c>
      <c r="P20" s="7">
        <v>6</v>
      </c>
      <c r="Q20" s="7">
        <v>3</v>
      </c>
      <c r="R20" s="8">
        <f t="shared" si="4"/>
        <v>547.71097814776272</v>
      </c>
      <c r="S20" s="8">
        <f t="shared" si="5"/>
        <v>6</v>
      </c>
      <c r="T20" s="7"/>
      <c r="U20" s="7">
        <v>128</v>
      </c>
      <c r="V20" s="7">
        <v>3</v>
      </c>
      <c r="W20" s="7">
        <v>5</v>
      </c>
      <c r="X20" s="8" t="str">
        <f t="shared" si="6"/>
        <v/>
      </c>
      <c r="Y20" s="8" t="str">
        <f t="shared" si="7"/>
        <v/>
      </c>
      <c r="Z20" s="7"/>
      <c r="AA20" s="7"/>
      <c r="AB20" s="7"/>
      <c r="AC20" s="7"/>
    </row>
    <row r="21" spans="3:29" ht="15.75" x14ac:dyDescent="0.25">
      <c r="C21" s="5">
        <v>12</v>
      </c>
      <c r="D21" s="5">
        <v>1</v>
      </c>
      <c r="E21" s="5">
        <v>1</v>
      </c>
      <c r="F21" s="8">
        <f t="shared" si="0"/>
        <v>0.2577514792899408</v>
      </c>
      <c r="G21" s="8">
        <f t="shared" si="1"/>
        <v>1</v>
      </c>
      <c r="H21" s="7"/>
      <c r="I21" s="5">
        <v>17</v>
      </c>
      <c r="J21" s="5">
        <v>6</v>
      </c>
      <c r="K21" s="5">
        <v>2</v>
      </c>
      <c r="L21" s="8">
        <f t="shared" si="2"/>
        <v>183.21556122448976</v>
      </c>
      <c r="M21" s="8">
        <f t="shared" si="3"/>
        <v>6</v>
      </c>
      <c r="N21" s="7"/>
      <c r="O21" s="7">
        <v>34</v>
      </c>
      <c r="P21" s="7">
        <v>6</v>
      </c>
      <c r="Q21" s="7">
        <v>5</v>
      </c>
      <c r="R21" s="8" t="str">
        <f t="shared" si="4"/>
        <v/>
      </c>
      <c r="S21" s="8" t="str">
        <f t="shared" si="5"/>
        <v/>
      </c>
      <c r="T21" s="7"/>
      <c r="U21" s="7">
        <v>129</v>
      </c>
      <c r="V21" s="7">
        <v>23</v>
      </c>
      <c r="W21" s="7">
        <v>4</v>
      </c>
      <c r="X21" s="8">
        <f t="shared" si="6"/>
        <v>3.4602076124567228E-3</v>
      </c>
      <c r="Y21" s="8">
        <f t="shared" si="7"/>
        <v>23</v>
      </c>
      <c r="Z21" s="7"/>
      <c r="AA21" s="7"/>
      <c r="AB21" s="7"/>
      <c r="AC21" s="7"/>
    </row>
    <row r="22" spans="3:29" ht="15.75" x14ac:dyDescent="0.25">
      <c r="C22" s="5">
        <v>13</v>
      </c>
      <c r="D22" s="5">
        <v>1</v>
      </c>
      <c r="E22" s="5">
        <v>1</v>
      </c>
      <c r="F22" s="8">
        <f t="shared" si="0"/>
        <v>0.2577514792899408</v>
      </c>
      <c r="G22" s="8">
        <f t="shared" si="1"/>
        <v>1</v>
      </c>
      <c r="H22" s="7"/>
      <c r="I22" s="5">
        <v>18</v>
      </c>
      <c r="J22" s="5">
        <v>14</v>
      </c>
      <c r="K22" s="5">
        <v>2</v>
      </c>
      <c r="L22" s="8">
        <f t="shared" si="2"/>
        <v>30.644132653061213</v>
      </c>
      <c r="M22" s="8">
        <f t="shared" si="3"/>
        <v>14</v>
      </c>
      <c r="N22" s="7"/>
      <c r="O22" s="7">
        <v>37</v>
      </c>
      <c r="P22" s="7">
        <v>39</v>
      </c>
      <c r="Q22" s="7">
        <v>3</v>
      </c>
      <c r="R22" s="8">
        <f t="shared" si="4"/>
        <v>92.098074921956311</v>
      </c>
      <c r="S22" s="8">
        <f t="shared" si="5"/>
        <v>39</v>
      </c>
      <c r="T22" s="7"/>
      <c r="U22" s="7">
        <v>143</v>
      </c>
      <c r="V22" s="7">
        <v>10</v>
      </c>
      <c r="W22" s="7">
        <v>5</v>
      </c>
      <c r="X22" s="8" t="str">
        <f t="shared" si="6"/>
        <v/>
      </c>
      <c r="Y22" s="8" t="str">
        <f t="shared" si="7"/>
        <v/>
      </c>
      <c r="Z22" s="7"/>
      <c r="AA22" s="7"/>
      <c r="AB22" s="7"/>
      <c r="AC22" s="7"/>
    </row>
    <row r="23" spans="3:29" ht="15.75" x14ac:dyDescent="0.25">
      <c r="C23" s="5">
        <v>14</v>
      </c>
      <c r="D23" s="5">
        <v>1</v>
      </c>
      <c r="E23" s="5">
        <v>2</v>
      </c>
      <c r="F23" s="8" t="str">
        <f t="shared" si="0"/>
        <v/>
      </c>
      <c r="G23" s="8" t="str">
        <f t="shared" si="1"/>
        <v/>
      </c>
      <c r="H23" s="7"/>
      <c r="I23" s="5">
        <v>19</v>
      </c>
      <c r="J23" s="5">
        <v>18</v>
      </c>
      <c r="K23" s="5">
        <v>4</v>
      </c>
      <c r="L23" s="8" t="str">
        <f t="shared" si="2"/>
        <v/>
      </c>
      <c r="M23" s="8" t="str">
        <f t="shared" si="3"/>
        <v/>
      </c>
      <c r="N23" s="7"/>
      <c r="O23" s="7">
        <v>41</v>
      </c>
      <c r="P23" s="7">
        <v>5</v>
      </c>
      <c r="Q23" s="7">
        <v>4</v>
      </c>
      <c r="R23" s="8" t="str">
        <f t="shared" si="4"/>
        <v/>
      </c>
      <c r="S23" s="8" t="str">
        <f t="shared" si="5"/>
        <v/>
      </c>
      <c r="T23" s="7"/>
      <c r="U23" s="7">
        <v>152</v>
      </c>
      <c r="V23" s="7">
        <v>17</v>
      </c>
      <c r="W23" s="7">
        <v>4</v>
      </c>
      <c r="X23" s="8">
        <f t="shared" si="6"/>
        <v>36.70934256055363</v>
      </c>
      <c r="Y23" s="8">
        <f t="shared" si="7"/>
        <v>17</v>
      </c>
      <c r="Z23" s="7"/>
      <c r="AA23" s="7"/>
      <c r="AB23" s="7"/>
      <c r="AC23" s="7"/>
    </row>
    <row r="24" spans="3:29" ht="15.75" x14ac:dyDescent="0.25">
      <c r="C24" s="5">
        <v>15</v>
      </c>
      <c r="D24" s="5">
        <v>1</v>
      </c>
      <c r="E24" s="5">
        <v>1</v>
      </c>
      <c r="F24" s="8">
        <f t="shared" si="0"/>
        <v>0.2577514792899408</v>
      </c>
      <c r="G24" s="8">
        <f t="shared" si="1"/>
        <v>1</v>
      </c>
      <c r="H24" s="7"/>
      <c r="I24" s="5">
        <v>23</v>
      </c>
      <c r="J24" s="5">
        <v>12</v>
      </c>
      <c r="K24" s="5">
        <v>2</v>
      </c>
      <c r="L24" s="8">
        <f t="shared" si="2"/>
        <v>56.786989795918352</v>
      </c>
      <c r="M24" s="8">
        <f t="shared" si="3"/>
        <v>12</v>
      </c>
      <c r="N24" s="7"/>
      <c r="O24" s="7">
        <v>44</v>
      </c>
      <c r="P24" s="7">
        <v>19</v>
      </c>
      <c r="Q24" s="7">
        <v>4</v>
      </c>
      <c r="R24" s="8" t="str">
        <f t="shared" si="4"/>
        <v/>
      </c>
      <c r="S24" s="8" t="str">
        <f t="shared" si="5"/>
        <v/>
      </c>
      <c r="T24" s="7"/>
      <c r="U24" s="7">
        <v>157</v>
      </c>
      <c r="V24" s="7">
        <v>35</v>
      </c>
      <c r="W24" s="7">
        <v>4</v>
      </c>
      <c r="X24" s="8">
        <f t="shared" si="6"/>
        <v>142.5916955017301</v>
      </c>
      <c r="Y24" s="8">
        <f t="shared" si="7"/>
        <v>35</v>
      </c>
      <c r="Z24" s="7"/>
      <c r="AA24" s="7"/>
      <c r="AB24" s="7"/>
      <c r="AC24" s="7"/>
    </row>
    <row r="25" spans="3:29" ht="15.75" x14ac:dyDescent="0.25">
      <c r="C25" s="5">
        <v>16</v>
      </c>
      <c r="D25" s="5">
        <v>3</v>
      </c>
      <c r="E25" s="5">
        <v>1</v>
      </c>
      <c r="F25" s="8">
        <f t="shared" si="0"/>
        <v>2.2269822485207103</v>
      </c>
      <c r="G25" s="8">
        <f t="shared" si="1"/>
        <v>3</v>
      </c>
      <c r="H25" s="7"/>
      <c r="I25" s="5">
        <v>24</v>
      </c>
      <c r="J25" s="5">
        <v>84</v>
      </c>
      <c r="K25" s="5">
        <v>4</v>
      </c>
      <c r="L25" s="8" t="str">
        <f t="shared" si="2"/>
        <v/>
      </c>
      <c r="M25" s="8" t="str">
        <f t="shared" si="3"/>
        <v/>
      </c>
      <c r="N25" s="7"/>
      <c r="O25" s="7">
        <v>52</v>
      </c>
      <c r="P25" s="7">
        <v>7</v>
      </c>
      <c r="Q25" s="7">
        <v>3</v>
      </c>
      <c r="R25" s="8">
        <f t="shared" si="4"/>
        <v>501.90452653485949</v>
      </c>
      <c r="S25" s="8">
        <f t="shared" si="5"/>
        <v>7</v>
      </c>
      <c r="T25" s="7"/>
      <c r="U25" s="7">
        <v>181</v>
      </c>
      <c r="V25" s="7">
        <v>105</v>
      </c>
      <c r="W25" s="7">
        <v>5</v>
      </c>
      <c r="X25" s="8" t="str">
        <f t="shared" si="6"/>
        <v/>
      </c>
      <c r="Y25" s="8" t="str">
        <f t="shared" si="7"/>
        <v/>
      </c>
      <c r="Z25" s="7"/>
      <c r="AA25" s="7"/>
      <c r="AB25" s="7"/>
      <c r="AC25" s="7"/>
    </row>
    <row r="26" spans="3:29" ht="15.75" x14ac:dyDescent="0.25">
      <c r="C26" s="5">
        <v>17</v>
      </c>
      <c r="D26" s="5">
        <v>1</v>
      </c>
      <c r="E26" s="5">
        <v>1</v>
      </c>
      <c r="F26" s="8">
        <f t="shared" si="0"/>
        <v>0.2577514792899408</v>
      </c>
      <c r="G26" s="8">
        <f t="shared" si="1"/>
        <v>1</v>
      </c>
      <c r="H26" s="7"/>
      <c r="I26" s="5">
        <v>25</v>
      </c>
      <c r="J26" s="5">
        <v>7</v>
      </c>
      <c r="K26" s="5">
        <v>3</v>
      </c>
      <c r="L26" s="8" t="str">
        <f t="shared" si="2"/>
        <v/>
      </c>
      <c r="M26" s="8" t="str">
        <f t="shared" si="3"/>
        <v/>
      </c>
      <c r="N26" s="7"/>
      <c r="O26" s="7">
        <v>56</v>
      </c>
      <c r="P26" s="7">
        <v>11</v>
      </c>
      <c r="Q26" s="7">
        <v>3</v>
      </c>
      <c r="R26" s="8">
        <f t="shared" si="4"/>
        <v>338.67872008324662</v>
      </c>
      <c r="S26" s="8">
        <f t="shared" si="5"/>
        <v>11</v>
      </c>
      <c r="T26" s="7"/>
      <c r="U26" s="7">
        <v>213</v>
      </c>
      <c r="V26" s="7">
        <v>10</v>
      </c>
      <c r="W26" s="7">
        <v>5</v>
      </c>
      <c r="X26" s="8" t="str">
        <f t="shared" si="6"/>
        <v/>
      </c>
      <c r="Y26" s="8" t="str">
        <f t="shared" si="7"/>
        <v/>
      </c>
      <c r="Z26" s="7"/>
      <c r="AA26" s="7"/>
      <c r="AB26" s="7"/>
      <c r="AC26" s="7"/>
    </row>
    <row r="27" spans="3:29" ht="15.75" x14ac:dyDescent="0.25">
      <c r="C27" s="5">
        <v>18</v>
      </c>
      <c r="D27" s="5">
        <v>1</v>
      </c>
      <c r="E27" s="5">
        <v>1</v>
      </c>
      <c r="F27" s="8">
        <f t="shared" si="0"/>
        <v>0.2577514792899408</v>
      </c>
      <c r="G27" s="8">
        <f t="shared" si="1"/>
        <v>1</v>
      </c>
      <c r="H27" s="7"/>
      <c r="I27" s="5">
        <v>26</v>
      </c>
      <c r="J27" s="5">
        <v>1</v>
      </c>
      <c r="K27" s="5">
        <v>2</v>
      </c>
      <c r="L27" s="8">
        <f t="shared" si="2"/>
        <v>343.57270408163259</v>
      </c>
      <c r="M27" s="8">
        <f t="shared" si="3"/>
        <v>1</v>
      </c>
      <c r="N27" s="7"/>
      <c r="O27" s="7">
        <v>58</v>
      </c>
      <c r="P27" s="7">
        <v>1</v>
      </c>
      <c r="Q27" s="7">
        <v>3</v>
      </c>
      <c r="R27" s="8">
        <f t="shared" si="4"/>
        <v>806.74323621227882</v>
      </c>
      <c r="S27" s="8">
        <f t="shared" si="5"/>
        <v>1</v>
      </c>
      <c r="T27" s="7"/>
      <c r="U27" s="7">
        <v>221</v>
      </c>
      <c r="V27" s="7">
        <v>13</v>
      </c>
      <c r="W27" s="7">
        <v>4</v>
      </c>
      <c r="X27" s="8">
        <f t="shared" si="6"/>
        <v>101.17993079584775</v>
      </c>
      <c r="Y27" s="8">
        <f t="shared" si="7"/>
        <v>13</v>
      </c>
      <c r="Z27" s="7"/>
      <c r="AA27" s="7"/>
      <c r="AB27" s="7"/>
      <c r="AC27" s="7"/>
    </row>
    <row r="28" spans="3:29" ht="15.75" x14ac:dyDescent="0.25">
      <c r="C28" s="5">
        <v>19</v>
      </c>
      <c r="D28" s="5">
        <v>1</v>
      </c>
      <c r="E28" s="5">
        <v>1</v>
      </c>
      <c r="F28" s="8">
        <f t="shared" si="0"/>
        <v>0.2577514792899408</v>
      </c>
      <c r="G28" s="8">
        <f t="shared" si="1"/>
        <v>1</v>
      </c>
      <c r="H28" s="7"/>
      <c r="I28" s="5">
        <v>28</v>
      </c>
      <c r="J28" s="5">
        <v>1</v>
      </c>
      <c r="K28" s="5">
        <v>2</v>
      </c>
      <c r="L28" s="8">
        <f t="shared" si="2"/>
        <v>343.57270408163259</v>
      </c>
      <c r="M28" s="8">
        <f t="shared" si="3"/>
        <v>1</v>
      </c>
      <c r="N28" s="7"/>
      <c r="O28" s="7">
        <v>66</v>
      </c>
      <c r="P28" s="7">
        <v>1</v>
      </c>
      <c r="Q28" s="7">
        <v>3</v>
      </c>
      <c r="R28" s="8">
        <f t="shared" si="4"/>
        <v>806.74323621227882</v>
      </c>
      <c r="S28" s="8">
        <f t="shared" si="5"/>
        <v>1</v>
      </c>
      <c r="T28" s="7"/>
      <c r="U28" s="7">
        <v>222</v>
      </c>
      <c r="V28" s="7">
        <v>12</v>
      </c>
      <c r="W28" s="7">
        <v>4</v>
      </c>
      <c r="X28" s="8">
        <f t="shared" si="6"/>
        <v>122.29757785467127</v>
      </c>
      <c r="Y28" s="8">
        <f t="shared" si="7"/>
        <v>12</v>
      </c>
      <c r="Z28" s="7"/>
      <c r="AA28" s="7"/>
      <c r="AB28" s="7"/>
      <c r="AC28" s="7"/>
    </row>
    <row r="29" spans="3:29" ht="15.75" x14ac:dyDescent="0.25">
      <c r="C29" s="5">
        <v>20</v>
      </c>
      <c r="D29" s="5">
        <v>1</v>
      </c>
      <c r="E29" s="5">
        <v>1</v>
      </c>
      <c r="F29" s="8">
        <f t="shared" si="0"/>
        <v>0.2577514792899408</v>
      </c>
      <c r="G29" s="8">
        <f t="shared" si="1"/>
        <v>1</v>
      </c>
      <c r="H29" s="7"/>
      <c r="I29" s="5">
        <v>29</v>
      </c>
      <c r="J29" s="5">
        <v>20</v>
      </c>
      <c r="K29" s="5">
        <v>2</v>
      </c>
      <c r="L29" s="8">
        <f t="shared" si="2"/>
        <v>0.21556122448979687</v>
      </c>
      <c r="M29" s="8">
        <f t="shared" si="3"/>
        <v>20</v>
      </c>
      <c r="N29" s="7"/>
      <c r="O29" s="7">
        <v>71</v>
      </c>
      <c r="P29" s="7">
        <v>1</v>
      </c>
      <c r="Q29" s="7">
        <v>3</v>
      </c>
      <c r="R29" s="8">
        <f t="shared" si="4"/>
        <v>806.74323621227882</v>
      </c>
      <c r="S29" s="8">
        <f t="shared" si="5"/>
        <v>1</v>
      </c>
      <c r="T29" s="7"/>
      <c r="U29" s="7">
        <v>240</v>
      </c>
      <c r="V29" s="7">
        <v>27</v>
      </c>
      <c r="W29" s="7">
        <v>4</v>
      </c>
      <c r="X29" s="8">
        <f t="shared" si="6"/>
        <v>15.532871972318341</v>
      </c>
      <c r="Y29" s="8">
        <f t="shared" si="7"/>
        <v>27</v>
      </c>
      <c r="Z29" s="7"/>
      <c r="AA29" s="7"/>
      <c r="AB29" s="7"/>
      <c r="AC29" s="7"/>
    </row>
    <row r="30" spans="3:29" ht="15.75" x14ac:dyDescent="0.25">
      <c r="C30" s="5">
        <v>21</v>
      </c>
      <c r="D30" s="5">
        <v>1</v>
      </c>
      <c r="E30" s="5">
        <v>1</v>
      </c>
      <c r="F30" s="8">
        <f t="shared" si="0"/>
        <v>0.2577514792899408</v>
      </c>
      <c r="G30" s="8">
        <f t="shared" si="1"/>
        <v>1</v>
      </c>
      <c r="H30" s="7"/>
      <c r="I30" s="5">
        <v>30</v>
      </c>
      <c r="J30" s="5">
        <v>18</v>
      </c>
      <c r="K30" s="5">
        <v>2</v>
      </c>
      <c r="L30" s="8">
        <f t="shared" si="2"/>
        <v>2.3584183673469354</v>
      </c>
      <c r="M30" s="8">
        <f t="shared" si="3"/>
        <v>18</v>
      </c>
      <c r="N30" s="7"/>
      <c r="O30" s="7">
        <v>77</v>
      </c>
      <c r="P30" s="7">
        <v>8</v>
      </c>
      <c r="Q30" s="7">
        <v>4</v>
      </c>
      <c r="R30" s="8" t="str">
        <f t="shared" si="4"/>
        <v/>
      </c>
      <c r="S30" s="8" t="str">
        <f t="shared" si="5"/>
        <v/>
      </c>
      <c r="T30" s="7"/>
      <c r="U30" s="7">
        <v>242</v>
      </c>
      <c r="V30" s="7">
        <v>53</v>
      </c>
      <c r="W30" s="7">
        <v>4</v>
      </c>
      <c r="X30" s="8">
        <f t="shared" si="6"/>
        <v>896.47404844290656</v>
      </c>
      <c r="Y30" s="8">
        <f t="shared" si="7"/>
        <v>53</v>
      </c>
      <c r="Z30" s="7"/>
      <c r="AA30" s="7"/>
      <c r="AB30" s="7"/>
      <c r="AC30" s="7"/>
    </row>
    <row r="31" spans="3:29" ht="15.75" x14ac:dyDescent="0.25">
      <c r="C31" s="5">
        <v>22</v>
      </c>
      <c r="D31" s="5">
        <v>2</v>
      </c>
      <c r="E31" s="5">
        <v>1</v>
      </c>
      <c r="F31" s="8">
        <f t="shared" si="0"/>
        <v>0.24236686390532547</v>
      </c>
      <c r="G31" s="8">
        <f t="shared" si="1"/>
        <v>2</v>
      </c>
      <c r="H31" s="7"/>
      <c r="I31" s="5">
        <v>31</v>
      </c>
      <c r="J31" s="5">
        <v>3</v>
      </c>
      <c r="K31" s="5">
        <v>2</v>
      </c>
      <c r="L31" s="8">
        <f t="shared" si="2"/>
        <v>273.42984693877548</v>
      </c>
      <c r="M31" s="8">
        <f t="shared" si="3"/>
        <v>3</v>
      </c>
      <c r="N31" s="7"/>
      <c r="O31" s="7">
        <v>81</v>
      </c>
      <c r="P31" s="7">
        <v>9</v>
      </c>
      <c r="Q31" s="7">
        <v>3</v>
      </c>
      <c r="R31" s="8">
        <f t="shared" si="4"/>
        <v>416.29162330905302</v>
      </c>
      <c r="S31" s="8">
        <f t="shared" si="5"/>
        <v>9</v>
      </c>
      <c r="T31" s="7"/>
      <c r="U31" s="7">
        <v>249</v>
      </c>
      <c r="V31" s="7">
        <v>8</v>
      </c>
      <c r="W31" s="7">
        <v>4</v>
      </c>
      <c r="X31" s="8">
        <f t="shared" si="6"/>
        <v>226.7681660899654</v>
      </c>
      <c r="Y31" s="8">
        <f t="shared" si="7"/>
        <v>8</v>
      </c>
      <c r="Z31" s="7"/>
      <c r="AA31" s="7"/>
      <c r="AB31" s="7"/>
      <c r="AC31" s="7"/>
    </row>
    <row r="32" spans="3:29" ht="15.75" x14ac:dyDescent="0.25">
      <c r="C32" s="5">
        <v>23</v>
      </c>
      <c r="D32" s="5">
        <v>1</v>
      </c>
      <c r="E32" s="5">
        <v>1</v>
      </c>
      <c r="F32" s="8">
        <f t="shared" si="0"/>
        <v>0.2577514792899408</v>
      </c>
      <c r="G32" s="8">
        <f t="shared" si="1"/>
        <v>1</v>
      </c>
      <c r="H32" s="7"/>
      <c r="I32" s="5">
        <v>32</v>
      </c>
      <c r="J32" s="5">
        <v>11</v>
      </c>
      <c r="K32" s="5">
        <v>3</v>
      </c>
      <c r="L32" s="8" t="str">
        <f t="shared" si="2"/>
        <v/>
      </c>
      <c r="M32" s="8" t="str">
        <f t="shared" si="3"/>
        <v/>
      </c>
      <c r="N32" s="7"/>
      <c r="O32" s="7">
        <v>92</v>
      </c>
      <c r="P32" s="7">
        <v>99</v>
      </c>
      <c r="Q32" s="7">
        <v>3</v>
      </c>
      <c r="R32" s="8">
        <f t="shared" si="4"/>
        <v>4843.710978147762</v>
      </c>
      <c r="S32" s="8">
        <f t="shared" si="5"/>
        <v>99</v>
      </c>
      <c r="T32" s="7"/>
      <c r="U32" s="7">
        <v>259</v>
      </c>
      <c r="V32" s="7">
        <v>31</v>
      </c>
      <c r="W32" s="7">
        <v>4</v>
      </c>
      <c r="X32" s="8">
        <f t="shared" si="6"/>
        <v>63.062283737024224</v>
      </c>
      <c r="Y32" s="8">
        <f t="shared" si="7"/>
        <v>31</v>
      </c>
      <c r="Z32" s="7"/>
      <c r="AA32" s="7"/>
      <c r="AB32" s="7"/>
      <c r="AC32" s="7"/>
    </row>
    <row r="33" spans="3:29" ht="15.75" x14ac:dyDescent="0.25">
      <c r="C33" s="5">
        <v>24</v>
      </c>
      <c r="D33" s="5">
        <v>3</v>
      </c>
      <c r="E33" s="5">
        <v>1</v>
      </c>
      <c r="F33" s="8">
        <f t="shared" si="0"/>
        <v>2.2269822485207103</v>
      </c>
      <c r="G33" s="8">
        <f t="shared" si="1"/>
        <v>3</v>
      </c>
      <c r="H33" s="7"/>
      <c r="I33" s="2">
        <v>33</v>
      </c>
      <c r="J33" s="2">
        <v>1</v>
      </c>
      <c r="K33" s="7">
        <v>2</v>
      </c>
      <c r="L33" s="8">
        <f t="shared" si="2"/>
        <v>343.57270408163259</v>
      </c>
      <c r="M33" s="8">
        <f t="shared" si="3"/>
        <v>1</v>
      </c>
      <c r="N33" s="7"/>
      <c r="O33" s="7">
        <v>93</v>
      </c>
      <c r="P33" s="7">
        <v>6</v>
      </c>
      <c r="Q33" s="7">
        <v>3</v>
      </c>
      <c r="R33" s="8">
        <f t="shared" si="4"/>
        <v>547.71097814776272</v>
      </c>
      <c r="S33" s="8">
        <f t="shared" si="5"/>
        <v>6</v>
      </c>
      <c r="T33" s="7"/>
      <c r="U33" s="7"/>
      <c r="V33" s="7"/>
      <c r="W33" s="7"/>
      <c r="X33" s="7"/>
      <c r="Y33" s="7"/>
      <c r="Z33" s="7"/>
      <c r="AA33" s="7"/>
      <c r="AB33" s="7"/>
      <c r="AC33" s="7"/>
    </row>
    <row r="34" spans="3:29" ht="15.75" x14ac:dyDescent="0.25">
      <c r="C34" s="5">
        <v>25</v>
      </c>
      <c r="D34" s="5">
        <v>1</v>
      </c>
      <c r="E34" s="5">
        <v>1</v>
      </c>
      <c r="F34" s="8">
        <f t="shared" si="0"/>
        <v>0.2577514792899408</v>
      </c>
      <c r="G34" s="8">
        <f t="shared" si="1"/>
        <v>1</v>
      </c>
      <c r="H34" s="7"/>
      <c r="I34" s="1">
        <v>34</v>
      </c>
      <c r="J34" s="1">
        <v>6</v>
      </c>
      <c r="K34" s="7">
        <v>5</v>
      </c>
      <c r="L34" s="8" t="str">
        <f t="shared" si="2"/>
        <v/>
      </c>
      <c r="M34" s="8" t="str">
        <f t="shared" si="3"/>
        <v/>
      </c>
      <c r="N34" s="7"/>
      <c r="O34" s="7">
        <v>95</v>
      </c>
      <c r="P34" s="7">
        <v>86</v>
      </c>
      <c r="Q34" s="7">
        <v>3</v>
      </c>
      <c r="R34" s="8">
        <f t="shared" si="4"/>
        <v>3203.1948491155044</v>
      </c>
      <c r="S34" s="8">
        <f t="shared" si="5"/>
        <v>86</v>
      </c>
      <c r="T34" s="7"/>
      <c r="U34" s="7"/>
      <c r="V34" s="7"/>
      <c r="W34" s="7"/>
      <c r="X34" s="7"/>
      <c r="Y34" s="7"/>
      <c r="Z34" s="7"/>
      <c r="AA34" s="7"/>
      <c r="AB34" s="7"/>
      <c r="AC34" s="7"/>
    </row>
    <row r="35" spans="3:29" ht="15.75" x14ac:dyDescent="0.25">
      <c r="C35" s="5">
        <v>26</v>
      </c>
      <c r="D35" s="5">
        <v>1</v>
      </c>
      <c r="E35" s="5">
        <v>2</v>
      </c>
      <c r="F35" s="8" t="str">
        <f t="shared" si="0"/>
        <v/>
      </c>
      <c r="G35" s="8" t="str">
        <f t="shared" si="1"/>
        <v/>
      </c>
      <c r="H35" s="7"/>
      <c r="I35" s="7">
        <v>36</v>
      </c>
      <c r="J35" s="7">
        <v>51</v>
      </c>
      <c r="K35" s="7">
        <v>2</v>
      </c>
      <c r="L35" s="8">
        <f t="shared" si="2"/>
        <v>990.0012755102041</v>
      </c>
      <c r="M35" s="8">
        <f t="shared" si="3"/>
        <v>51</v>
      </c>
      <c r="N35" s="7"/>
      <c r="O35" s="7">
        <v>96</v>
      </c>
      <c r="P35" s="7">
        <v>2</v>
      </c>
      <c r="Q35" s="7">
        <v>3</v>
      </c>
      <c r="R35" s="8">
        <f t="shared" si="4"/>
        <v>750.93678459937564</v>
      </c>
      <c r="S35" s="8">
        <f t="shared" si="5"/>
        <v>2</v>
      </c>
      <c r="T35" s="7"/>
      <c r="U35" s="7"/>
      <c r="V35" s="7"/>
      <c r="W35" s="7"/>
      <c r="X35" s="7"/>
      <c r="Y35" s="7"/>
      <c r="Z35" s="7"/>
      <c r="AA35" s="7"/>
      <c r="AB35" s="7"/>
      <c r="AC35" s="7"/>
    </row>
    <row r="36" spans="3:29" ht="15.75" x14ac:dyDescent="0.25">
      <c r="C36" s="5">
        <v>27</v>
      </c>
      <c r="D36" s="5">
        <v>1</v>
      </c>
      <c r="E36" s="5">
        <v>1</v>
      </c>
      <c r="F36" s="8">
        <f t="shared" si="0"/>
        <v>0.2577514792899408</v>
      </c>
      <c r="G36" s="8">
        <f t="shared" si="1"/>
        <v>1</v>
      </c>
      <c r="H36" s="7"/>
      <c r="I36" s="7">
        <v>37</v>
      </c>
      <c r="J36" s="7">
        <v>39</v>
      </c>
      <c r="K36" s="7">
        <v>3</v>
      </c>
      <c r="L36" s="8" t="str">
        <f t="shared" si="2"/>
        <v/>
      </c>
      <c r="M36" s="8" t="str">
        <f t="shared" si="3"/>
        <v/>
      </c>
      <c r="N36" s="7"/>
      <c r="O36" s="7">
        <v>98</v>
      </c>
      <c r="P36" s="7">
        <v>6</v>
      </c>
      <c r="Q36" s="7">
        <v>5</v>
      </c>
      <c r="R36" s="8" t="str">
        <f t="shared" si="4"/>
        <v/>
      </c>
      <c r="S36" s="8" t="str">
        <f t="shared" si="5"/>
        <v/>
      </c>
      <c r="T36" s="7"/>
      <c r="U36" s="7"/>
      <c r="V36" s="7"/>
      <c r="W36" s="7"/>
      <c r="X36" s="7"/>
      <c r="Y36" s="7"/>
      <c r="Z36" s="7"/>
      <c r="AA36" s="7"/>
      <c r="AB36" s="7"/>
      <c r="AC36" s="7"/>
    </row>
    <row r="37" spans="3:29" ht="15.75" x14ac:dyDescent="0.25">
      <c r="C37" s="2">
        <v>28</v>
      </c>
      <c r="D37" s="2">
        <v>1</v>
      </c>
      <c r="E37" s="7">
        <v>2</v>
      </c>
      <c r="F37" s="8" t="str">
        <f t="shared" si="0"/>
        <v/>
      </c>
      <c r="G37" s="8" t="str">
        <f t="shared" si="1"/>
        <v/>
      </c>
      <c r="H37" s="7"/>
      <c r="I37" s="7">
        <v>40</v>
      </c>
      <c r="J37" s="7">
        <v>10</v>
      </c>
      <c r="K37" s="7">
        <v>2</v>
      </c>
      <c r="L37" s="8">
        <f t="shared" si="2"/>
        <v>90.929846938775498</v>
      </c>
      <c r="M37" s="8">
        <f t="shared" si="3"/>
        <v>10</v>
      </c>
      <c r="N37" s="7"/>
      <c r="O37" s="7">
        <v>99</v>
      </c>
      <c r="P37" s="7">
        <v>25</v>
      </c>
      <c r="Q37" s="7">
        <v>3</v>
      </c>
      <c r="R37" s="8">
        <f t="shared" si="4"/>
        <v>19.38839750260145</v>
      </c>
      <c r="S37" s="8">
        <f t="shared" si="5"/>
        <v>25</v>
      </c>
      <c r="T37" s="7"/>
      <c r="U37" s="7"/>
      <c r="V37" s="7"/>
      <c r="W37" s="7"/>
      <c r="X37" s="7"/>
      <c r="Y37" s="7"/>
      <c r="Z37" s="7"/>
      <c r="AA37" s="7"/>
      <c r="AB37" s="7"/>
      <c r="AC37" s="7"/>
    </row>
    <row r="38" spans="3:29" ht="15.75" x14ac:dyDescent="0.25">
      <c r="C38" s="1">
        <v>29</v>
      </c>
      <c r="D38" s="1">
        <v>2</v>
      </c>
      <c r="E38" s="7">
        <v>1</v>
      </c>
      <c r="F38" s="8">
        <f t="shared" si="0"/>
        <v>0.24236686390532547</v>
      </c>
      <c r="G38" s="8">
        <f t="shared" si="1"/>
        <v>2</v>
      </c>
      <c r="H38" s="7"/>
      <c r="I38" s="7">
        <v>41</v>
      </c>
      <c r="J38" s="7">
        <v>1</v>
      </c>
      <c r="K38" s="7">
        <v>2</v>
      </c>
      <c r="L38" s="8">
        <f t="shared" si="2"/>
        <v>343.57270408163259</v>
      </c>
      <c r="M38" s="8">
        <f t="shared" si="3"/>
        <v>1</v>
      </c>
      <c r="N38" s="7"/>
      <c r="O38" s="7">
        <v>102</v>
      </c>
      <c r="P38" s="7">
        <v>20</v>
      </c>
      <c r="Q38" s="7">
        <v>3</v>
      </c>
      <c r="R38" s="8">
        <f t="shared" si="4"/>
        <v>88.420655567117578</v>
      </c>
      <c r="S38" s="8">
        <f t="shared" si="5"/>
        <v>20</v>
      </c>
      <c r="T38" s="7"/>
      <c r="U38" s="7"/>
      <c r="V38" s="7"/>
      <c r="W38" s="7"/>
      <c r="X38" s="7"/>
      <c r="Y38" s="7"/>
      <c r="Z38" s="7"/>
      <c r="AA38" s="7"/>
      <c r="AB38" s="7"/>
      <c r="AC38" s="7"/>
    </row>
    <row r="39" spans="3:29" ht="15.75" x14ac:dyDescent="0.25">
      <c r="C39" s="7">
        <v>30</v>
      </c>
      <c r="D39" s="7">
        <v>1</v>
      </c>
      <c r="E39" s="7">
        <v>1</v>
      </c>
      <c r="F39" s="8">
        <f t="shared" si="0"/>
        <v>0.2577514792899408</v>
      </c>
      <c r="G39" s="8">
        <f t="shared" si="1"/>
        <v>1</v>
      </c>
      <c r="H39" s="7"/>
      <c r="I39" s="7">
        <v>43</v>
      </c>
      <c r="J39" s="7">
        <v>26</v>
      </c>
      <c r="K39" s="7">
        <v>2</v>
      </c>
      <c r="L39" s="8">
        <f t="shared" si="2"/>
        <v>41.78698979591838</v>
      </c>
      <c r="M39" s="8">
        <f t="shared" si="3"/>
        <v>26</v>
      </c>
      <c r="N39" s="7"/>
      <c r="O39" s="7">
        <v>103</v>
      </c>
      <c r="P39" s="7">
        <v>7</v>
      </c>
      <c r="Q39" s="7">
        <v>3</v>
      </c>
      <c r="R39" s="8">
        <f t="shared" si="4"/>
        <v>501.90452653485949</v>
      </c>
      <c r="S39" s="8">
        <f t="shared" si="5"/>
        <v>7</v>
      </c>
      <c r="T39" s="7"/>
      <c r="U39" s="7"/>
      <c r="V39" s="7"/>
      <c r="W39" s="7"/>
      <c r="X39" s="7"/>
      <c r="Y39" s="7"/>
      <c r="Z39" s="7"/>
      <c r="AA39" s="7"/>
      <c r="AB39" s="7"/>
      <c r="AC39" s="7"/>
    </row>
    <row r="40" spans="3:29" ht="15.75" x14ac:dyDescent="0.25">
      <c r="C40" s="7">
        <v>31</v>
      </c>
      <c r="D40" s="7">
        <v>1</v>
      </c>
      <c r="E40" s="7">
        <v>1</v>
      </c>
      <c r="F40" s="8">
        <f t="shared" si="0"/>
        <v>0.2577514792899408</v>
      </c>
      <c r="G40" s="8">
        <f t="shared" si="1"/>
        <v>1</v>
      </c>
      <c r="H40" s="7"/>
      <c r="I40" s="7">
        <v>44</v>
      </c>
      <c r="J40" s="7">
        <v>19</v>
      </c>
      <c r="K40" s="7">
        <v>4</v>
      </c>
      <c r="L40" s="8" t="str">
        <f t="shared" si="2"/>
        <v/>
      </c>
      <c r="M40" s="8" t="str">
        <f t="shared" si="3"/>
        <v/>
      </c>
      <c r="N40" s="7"/>
      <c r="O40" s="7">
        <v>105</v>
      </c>
      <c r="P40" s="7">
        <v>26</v>
      </c>
      <c r="Q40" s="7">
        <v>3</v>
      </c>
      <c r="R40" s="8">
        <f t="shared" si="4"/>
        <v>11.581945889698225</v>
      </c>
      <c r="S40" s="8">
        <f t="shared" si="5"/>
        <v>26</v>
      </c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3:29" ht="15.75" x14ac:dyDescent="0.25">
      <c r="C41" s="7">
        <v>32</v>
      </c>
      <c r="D41" s="7">
        <v>1</v>
      </c>
      <c r="E41" s="7">
        <v>1</v>
      </c>
      <c r="F41" s="8">
        <f t="shared" si="0"/>
        <v>0.2577514792899408</v>
      </c>
      <c r="G41" s="8">
        <f t="shared" si="1"/>
        <v>1</v>
      </c>
      <c r="H41" s="7"/>
      <c r="I41" s="7">
        <v>45</v>
      </c>
      <c r="J41" s="7">
        <v>23</v>
      </c>
      <c r="K41" s="7">
        <v>2</v>
      </c>
      <c r="L41" s="8">
        <f t="shared" si="2"/>
        <v>12.001275510204088</v>
      </c>
      <c r="M41" s="8">
        <f t="shared" si="3"/>
        <v>23</v>
      </c>
      <c r="N41" s="7"/>
      <c r="O41" s="7">
        <v>113</v>
      </c>
      <c r="P41" s="7">
        <v>49</v>
      </c>
      <c r="Q41" s="7">
        <v>3</v>
      </c>
      <c r="R41" s="8">
        <f t="shared" si="4"/>
        <v>384.03355879292405</v>
      </c>
      <c r="S41" s="8">
        <f t="shared" si="5"/>
        <v>49</v>
      </c>
      <c r="T41" s="7"/>
      <c r="U41" s="7"/>
      <c r="V41" s="7"/>
      <c r="W41" s="7"/>
      <c r="X41" s="7"/>
      <c r="Y41" s="7"/>
      <c r="Z41" s="7"/>
      <c r="AA41" s="7"/>
      <c r="AB41" s="7"/>
      <c r="AC41" s="7"/>
    </row>
    <row r="42" spans="3:29" ht="15.75" x14ac:dyDescent="0.25">
      <c r="C42" s="7">
        <v>33</v>
      </c>
      <c r="D42" s="7">
        <v>1</v>
      </c>
      <c r="E42" s="7">
        <v>2</v>
      </c>
      <c r="F42" s="8" t="str">
        <f t="shared" si="0"/>
        <v/>
      </c>
      <c r="G42" s="8" t="str">
        <f t="shared" si="1"/>
        <v/>
      </c>
      <c r="H42" s="7"/>
      <c r="I42" s="7">
        <v>48</v>
      </c>
      <c r="J42" s="7">
        <v>11</v>
      </c>
      <c r="K42" s="7">
        <v>2</v>
      </c>
      <c r="L42" s="8">
        <f t="shared" si="2"/>
        <v>72.858418367346928</v>
      </c>
      <c r="M42" s="8">
        <f t="shared" si="3"/>
        <v>11</v>
      </c>
      <c r="N42" s="7"/>
      <c r="O42" s="7">
        <v>117</v>
      </c>
      <c r="P42" s="7">
        <v>13</v>
      </c>
      <c r="Q42" s="7">
        <v>3</v>
      </c>
      <c r="R42" s="8">
        <f t="shared" si="4"/>
        <v>269.06581685744015</v>
      </c>
      <c r="S42" s="8">
        <f t="shared" si="5"/>
        <v>13</v>
      </c>
      <c r="T42" s="7"/>
      <c r="U42" s="7"/>
      <c r="V42" s="7"/>
      <c r="W42" s="7"/>
      <c r="X42" s="7"/>
      <c r="Y42" s="7"/>
      <c r="Z42" s="7"/>
      <c r="AA42" s="7"/>
      <c r="AB42" s="7"/>
      <c r="AC42" s="7"/>
    </row>
    <row r="43" spans="3:29" ht="15.75" x14ac:dyDescent="0.25">
      <c r="C43" s="7">
        <v>34</v>
      </c>
      <c r="D43" s="7">
        <v>1</v>
      </c>
      <c r="E43" s="7">
        <v>1</v>
      </c>
      <c r="F43" s="8">
        <f t="shared" si="0"/>
        <v>0.2577514792899408</v>
      </c>
      <c r="G43" s="8">
        <f t="shared" si="1"/>
        <v>1</v>
      </c>
      <c r="H43" s="7"/>
      <c r="I43" s="7">
        <v>49</v>
      </c>
      <c r="J43" s="7">
        <v>17</v>
      </c>
      <c r="K43" s="7">
        <v>2</v>
      </c>
      <c r="L43" s="8">
        <f t="shared" si="2"/>
        <v>6.4298469387755048</v>
      </c>
      <c r="M43" s="8">
        <f t="shared" si="3"/>
        <v>17</v>
      </c>
      <c r="N43" s="7"/>
      <c r="O43" s="7">
        <v>119</v>
      </c>
      <c r="P43" s="7">
        <v>4</v>
      </c>
      <c r="Q43" s="7">
        <v>4</v>
      </c>
      <c r="R43" s="8" t="str">
        <f t="shared" si="4"/>
        <v/>
      </c>
      <c r="S43" s="8" t="str">
        <f t="shared" si="5"/>
        <v/>
      </c>
      <c r="T43" s="7"/>
      <c r="U43" s="7"/>
      <c r="V43" s="7"/>
      <c r="W43" s="7"/>
      <c r="X43" s="7"/>
      <c r="Y43" s="7"/>
      <c r="Z43" s="7"/>
      <c r="AA43" s="7"/>
      <c r="AB43" s="7"/>
      <c r="AC43" s="7"/>
    </row>
    <row r="44" spans="3:29" ht="15.75" x14ac:dyDescent="0.25">
      <c r="C44" s="7">
        <v>35</v>
      </c>
      <c r="D44" s="7">
        <v>1</v>
      </c>
      <c r="E44" s="7">
        <v>1</v>
      </c>
      <c r="F44" s="8">
        <f t="shared" si="0"/>
        <v>0.2577514792899408</v>
      </c>
      <c r="G44" s="8">
        <f t="shared" si="1"/>
        <v>1</v>
      </c>
      <c r="H44" s="7"/>
      <c r="I44" s="7">
        <v>50</v>
      </c>
      <c r="J44" s="7">
        <v>56</v>
      </c>
      <c r="K44" s="7">
        <v>2</v>
      </c>
      <c r="L44" s="8">
        <f t="shared" si="2"/>
        <v>1329.6441326530612</v>
      </c>
      <c r="M44" s="8">
        <f t="shared" si="3"/>
        <v>56</v>
      </c>
      <c r="N44" s="7"/>
      <c r="O44" s="7">
        <v>124</v>
      </c>
      <c r="P44" s="7">
        <v>68</v>
      </c>
      <c r="Q44" s="7">
        <v>3</v>
      </c>
      <c r="R44" s="8">
        <f t="shared" si="4"/>
        <v>1489.7109781477625</v>
      </c>
      <c r="S44" s="8">
        <f t="shared" si="5"/>
        <v>68</v>
      </c>
      <c r="T44" s="7"/>
      <c r="U44" s="7"/>
      <c r="V44" s="7"/>
      <c r="W44" s="7"/>
      <c r="X44" s="7"/>
      <c r="Y44" s="7"/>
      <c r="Z44" s="7"/>
      <c r="AA44" s="7"/>
      <c r="AB44" s="7"/>
      <c r="AC44" s="7"/>
    </row>
    <row r="45" spans="3:29" ht="15.75" x14ac:dyDescent="0.25">
      <c r="C45" s="7">
        <v>36</v>
      </c>
      <c r="D45" s="7">
        <v>1</v>
      </c>
      <c r="E45" s="7">
        <v>1</v>
      </c>
      <c r="F45" s="8">
        <f t="shared" si="0"/>
        <v>0.2577514792899408</v>
      </c>
      <c r="G45" s="8">
        <f t="shared" si="1"/>
        <v>1</v>
      </c>
      <c r="H45" s="7"/>
      <c r="I45" s="7">
        <v>51</v>
      </c>
      <c r="J45" s="7">
        <v>27</v>
      </c>
      <c r="K45" s="7">
        <v>2</v>
      </c>
      <c r="L45" s="8">
        <f t="shared" si="2"/>
        <v>55.715561224489811</v>
      </c>
      <c r="M45" s="8">
        <f t="shared" si="3"/>
        <v>27</v>
      </c>
      <c r="N45" s="7"/>
      <c r="O45" s="7">
        <v>128</v>
      </c>
      <c r="P45" s="7">
        <v>3</v>
      </c>
      <c r="Q45" s="7">
        <v>5</v>
      </c>
      <c r="R45" s="8" t="str">
        <f t="shared" si="4"/>
        <v/>
      </c>
      <c r="S45" s="8" t="str">
        <f t="shared" si="5"/>
        <v/>
      </c>
      <c r="T45" s="7"/>
      <c r="U45" s="7"/>
      <c r="V45" s="7"/>
      <c r="W45" s="7"/>
      <c r="X45" s="7"/>
      <c r="Y45" s="7"/>
      <c r="Z45" s="7"/>
      <c r="AA45" s="7"/>
      <c r="AB45" s="7"/>
      <c r="AC45" s="7"/>
    </row>
    <row r="46" spans="3:29" ht="15.75" x14ac:dyDescent="0.25">
      <c r="C46" s="7">
        <v>37</v>
      </c>
      <c r="D46" s="7">
        <v>1</v>
      </c>
      <c r="E46" s="7">
        <v>1</v>
      </c>
      <c r="F46" s="8">
        <f t="shared" si="0"/>
        <v>0.2577514792899408</v>
      </c>
      <c r="G46" s="8">
        <f t="shared" si="1"/>
        <v>1</v>
      </c>
      <c r="H46" s="7"/>
      <c r="I46" s="7">
        <v>52</v>
      </c>
      <c r="J46" s="7">
        <v>7</v>
      </c>
      <c r="K46" s="7">
        <v>3</v>
      </c>
      <c r="L46" s="8" t="str">
        <f t="shared" si="2"/>
        <v/>
      </c>
      <c r="M46" s="8" t="str">
        <f t="shared" si="3"/>
        <v/>
      </c>
      <c r="N46" s="7"/>
      <c r="O46" s="7">
        <v>129</v>
      </c>
      <c r="P46" s="7">
        <v>23</v>
      </c>
      <c r="Q46" s="7">
        <v>4</v>
      </c>
      <c r="R46" s="8" t="str">
        <f t="shared" si="4"/>
        <v/>
      </c>
      <c r="S46" s="8" t="str">
        <f t="shared" si="5"/>
        <v/>
      </c>
      <c r="T46" s="7"/>
      <c r="U46" s="7"/>
      <c r="V46" s="7"/>
      <c r="W46" s="7"/>
      <c r="X46" s="7"/>
      <c r="Y46" s="7"/>
      <c r="Z46" s="7"/>
      <c r="AA46" s="7"/>
      <c r="AB46" s="7"/>
      <c r="AC46" s="7"/>
    </row>
    <row r="47" spans="3:29" x14ac:dyDescent="0.25">
      <c r="C47">
        <v>38</v>
      </c>
      <c r="D47">
        <v>1</v>
      </c>
      <c r="E47">
        <v>1</v>
      </c>
      <c r="F47" s="8">
        <f t="shared" si="0"/>
        <v>0.2577514792899408</v>
      </c>
      <c r="G47" s="8">
        <f t="shared" si="1"/>
        <v>1</v>
      </c>
      <c r="I47">
        <v>53</v>
      </c>
      <c r="J47">
        <v>7</v>
      </c>
      <c r="K47">
        <v>2</v>
      </c>
      <c r="L47" s="8">
        <f t="shared" si="2"/>
        <v>157.14413265306121</v>
      </c>
      <c r="M47" s="8">
        <f t="shared" si="3"/>
        <v>7</v>
      </c>
      <c r="O47">
        <v>131</v>
      </c>
      <c r="P47">
        <v>99</v>
      </c>
      <c r="Q47">
        <v>3</v>
      </c>
      <c r="R47" s="8">
        <f t="shared" si="4"/>
        <v>4843.710978147762</v>
      </c>
      <c r="S47" s="8">
        <f t="shared" si="5"/>
        <v>99</v>
      </c>
    </row>
    <row r="48" spans="3:29" x14ac:dyDescent="0.25">
      <c r="C48">
        <v>39</v>
      </c>
      <c r="D48">
        <v>1</v>
      </c>
      <c r="E48">
        <v>1</v>
      </c>
      <c r="F48" s="8">
        <f t="shared" si="0"/>
        <v>0.2577514792899408</v>
      </c>
      <c r="G48" s="8">
        <f t="shared" si="1"/>
        <v>1</v>
      </c>
      <c r="I48">
        <v>54</v>
      </c>
      <c r="J48">
        <v>14</v>
      </c>
      <c r="K48">
        <v>2</v>
      </c>
      <c r="L48" s="8">
        <f t="shared" si="2"/>
        <v>30.644132653061213</v>
      </c>
      <c r="M48" s="8">
        <f t="shared" si="3"/>
        <v>14</v>
      </c>
      <c r="O48">
        <v>134</v>
      </c>
      <c r="P48">
        <v>12</v>
      </c>
      <c r="Q48">
        <v>3</v>
      </c>
      <c r="R48" s="8">
        <f t="shared" si="4"/>
        <v>302.87226847034339</v>
      </c>
      <c r="S48" s="8">
        <f t="shared" si="5"/>
        <v>12</v>
      </c>
    </row>
    <row r="49" spans="3:19" x14ac:dyDescent="0.25">
      <c r="C49">
        <v>40</v>
      </c>
      <c r="D49">
        <v>2</v>
      </c>
      <c r="E49">
        <v>1</v>
      </c>
      <c r="F49" s="8">
        <f t="shared" si="0"/>
        <v>0.24236686390532547</v>
      </c>
      <c r="G49" s="8">
        <f t="shared" si="1"/>
        <v>2</v>
      </c>
      <c r="I49">
        <v>56</v>
      </c>
      <c r="J49">
        <v>11</v>
      </c>
      <c r="K49">
        <v>3</v>
      </c>
      <c r="L49" s="8" t="str">
        <f t="shared" si="2"/>
        <v/>
      </c>
      <c r="M49" s="8" t="str">
        <f t="shared" si="3"/>
        <v/>
      </c>
      <c r="O49">
        <v>143</v>
      </c>
      <c r="P49">
        <v>1</v>
      </c>
      <c r="Q49">
        <v>3</v>
      </c>
      <c r="R49" s="8">
        <f t="shared" si="4"/>
        <v>806.74323621227882</v>
      </c>
      <c r="S49" s="8">
        <f t="shared" si="5"/>
        <v>1</v>
      </c>
    </row>
    <row r="50" spans="3:19" x14ac:dyDescent="0.25">
      <c r="C50">
        <v>41</v>
      </c>
      <c r="D50">
        <v>1</v>
      </c>
      <c r="E50">
        <v>2</v>
      </c>
      <c r="F50" s="8" t="str">
        <f t="shared" si="0"/>
        <v/>
      </c>
      <c r="G50" s="8" t="str">
        <f t="shared" si="1"/>
        <v/>
      </c>
      <c r="I50">
        <v>58</v>
      </c>
      <c r="J50">
        <v>1</v>
      </c>
      <c r="K50">
        <v>3</v>
      </c>
      <c r="L50" s="8" t="str">
        <f t="shared" si="2"/>
        <v/>
      </c>
      <c r="M50" s="8" t="str">
        <f t="shared" si="3"/>
        <v/>
      </c>
      <c r="O50">
        <v>148</v>
      </c>
      <c r="P50">
        <v>21</v>
      </c>
      <c r="Q50">
        <v>3</v>
      </c>
      <c r="R50" s="8">
        <f t="shared" si="4"/>
        <v>70.614203954214346</v>
      </c>
      <c r="S50" s="8">
        <f t="shared" si="5"/>
        <v>21</v>
      </c>
    </row>
    <row r="51" spans="3:19" x14ac:dyDescent="0.25">
      <c r="C51">
        <v>42</v>
      </c>
      <c r="D51">
        <v>2</v>
      </c>
      <c r="E51">
        <v>1</v>
      </c>
      <c r="F51" s="8">
        <f t="shared" si="0"/>
        <v>0.24236686390532547</v>
      </c>
      <c r="G51" s="8">
        <f t="shared" si="1"/>
        <v>2</v>
      </c>
      <c r="I51">
        <v>62</v>
      </c>
      <c r="J51">
        <v>40</v>
      </c>
      <c r="K51">
        <v>2</v>
      </c>
      <c r="L51" s="8">
        <f t="shared" si="2"/>
        <v>418.78698979591843</v>
      </c>
      <c r="M51" s="8">
        <f t="shared" si="3"/>
        <v>40</v>
      </c>
      <c r="O51">
        <v>150</v>
      </c>
      <c r="P51">
        <v>102</v>
      </c>
      <c r="Q51">
        <v>3</v>
      </c>
      <c r="R51" s="8">
        <f t="shared" si="4"/>
        <v>5270.2916233090527</v>
      </c>
      <c r="S51" s="8">
        <f t="shared" si="5"/>
        <v>102</v>
      </c>
    </row>
    <row r="52" spans="3:19" x14ac:dyDescent="0.25">
      <c r="C52">
        <v>43</v>
      </c>
      <c r="D52">
        <v>2</v>
      </c>
      <c r="E52">
        <v>1</v>
      </c>
      <c r="F52" s="8">
        <f t="shared" si="0"/>
        <v>0.24236686390532547</v>
      </c>
      <c r="G52" s="8">
        <f t="shared" si="1"/>
        <v>2</v>
      </c>
      <c r="I52">
        <v>63</v>
      </c>
      <c r="J52">
        <v>1</v>
      </c>
      <c r="K52">
        <v>2</v>
      </c>
      <c r="L52" s="8">
        <f t="shared" si="2"/>
        <v>343.57270408163259</v>
      </c>
      <c r="M52" s="8">
        <f t="shared" si="3"/>
        <v>1</v>
      </c>
      <c r="O52">
        <v>152</v>
      </c>
      <c r="P52">
        <v>17</v>
      </c>
      <c r="Q52">
        <v>4</v>
      </c>
      <c r="R52" s="8" t="str">
        <f t="shared" si="4"/>
        <v/>
      </c>
      <c r="S52" s="8" t="str">
        <f t="shared" si="5"/>
        <v/>
      </c>
    </row>
    <row r="53" spans="3:19" x14ac:dyDescent="0.25">
      <c r="C53">
        <v>44</v>
      </c>
      <c r="D53">
        <v>1</v>
      </c>
      <c r="E53">
        <v>1</v>
      </c>
      <c r="F53" s="8">
        <f t="shared" si="0"/>
        <v>0.2577514792899408</v>
      </c>
      <c r="G53" s="8">
        <f t="shared" si="1"/>
        <v>1</v>
      </c>
      <c r="I53">
        <v>64</v>
      </c>
      <c r="J53">
        <v>24</v>
      </c>
      <c r="K53">
        <v>2</v>
      </c>
      <c r="L53" s="8">
        <f t="shared" si="2"/>
        <v>19.929846938775519</v>
      </c>
      <c r="M53" s="8">
        <f t="shared" si="3"/>
        <v>24</v>
      </c>
      <c r="O53">
        <v>157</v>
      </c>
      <c r="P53">
        <v>35</v>
      </c>
      <c r="Q53">
        <v>4</v>
      </c>
      <c r="R53" s="8" t="str">
        <f t="shared" si="4"/>
        <v/>
      </c>
      <c r="S53" s="8" t="str">
        <f t="shared" si="5"/>
        <v/>
      </c>
    </row>
    <row r="54" spans="3:19" x14ac:dyDescent="0.25">
      <c r="C54">
        <v>45</v>
      </c>
      <c r="D54">
        <v>5</v>
      </c>
      <c r="E54">
        <v>1</v>
      </c>
      <c r="F54" s="8">
        <f t="shared" si="0"/>
        <v>12.196213017751479</v>
      </c>
      <c r="G54" s="8">
        <f t="shared" si="1"/>
        <v>5</v>
      </c>
      <c r="I54">
        <v>66</v>
      </c>
      <c r="J54">
        <v>1</v>
      </c>
      <c r="K54">
        <v>3</v>
      </c>
      <c r="L54" s="8" t="str">
        <f t="shared" si="2"/>
        <v/>
      </c>
      <c r="M54" s="8" t="str">
        <f t="shared" si="3"/>
        <v/>
      </c>
      <c r="O54">
        <v>159</v>
      </c>
      <c r="P54">
        <v>22</v>
      </c>
      <c r="Q54">
        <v>3</v>
      </c>
      <c r="R54" s="8">
        <f t="shared" si="4"/>
        <v>54.807752341311122</v>
      </c>
      <c r="S54" s="8">
        <f t="shared" si="5"/>
        <v>22</v>
      </c>
    </row>
    <row r="55" spans="3:19" x14ac:dyDescent="0.25">
      <c r="C55">
        <v>46</v>
      </c>
      <c r="D55">
        <v>1</v>
      </c>
      <c r="E55">
        <v>1</v>
      </c>
      <c r="F55" s="8">
        <f t="shared" si="0"/>
        <v>0.2577514792899408</v>
      </c>
      <c r="G55" s="8">
        <f t="shared" si="1"/>
        <v>1</v>
      </c>
      <c r="I55">
        <v>69</v>
      </c>
      <c r="J55">
        <v>7</v>
      </c>
      <c r="K55">
        <v>2</v>
      </c>
      <c r="L55" s="8">
        <f t="shared" si="2"/>
        <v>157.14413265306121</v>
      </c>
      <c r="M55" s="8">
        <f t="shared" si="3"/>
        <v>7</v>
      </c>
      <c r="O55">
        <v>162</v>
      </c>
      <c r="P55">
        <v>55</v>
      </c>
      <c r="Q55">
        <v>3</v>
      </c>
      <c r="R55" s="8">
        <f t="shared" si="4"/>
        <v>655.19484911550478</v>
      </c>
      <c r="S55" s="8">
        <f t="shared" si="5"/>
        <v>55</v>
      </c>
    </row>
    <row r="56" spans="3:19" x14ac:dyDescent="0.25">
      <c r="C56">
        <v>47</v>
      </c>
      <c r="D56">
        <v>1</v>
      </c>
      <c r="E56">
        <v>1</v>
      </c>
      <c r="F56" s="8">
        <f t="shared" si="0"/>
        <v>0.2577514792899408</v>
      </c>
      <c r="G56" s="8">
        <f t="shared" si="1"/>
        <v>1</v>
      </c>
      <c r="I56">
        <v>70</v>
      </c>
      <c r="J56">
        <v>8</v>
      </c>
      <c r="K56">
        <v>2</v>
      </c>
      <c r="L56" s="8">
        <f t="shared" si="2"/>
        <v>133.07270408163262</v>
      </c>
      <c r="M56" s="8">
        <f t="shared" si="3"/>
        <v>8</v>
      </c>
      <c r="O56">
        <v>163</v>
      </c>
      <c r="P56">
        <v>5</v>
      </c>
      <c r="Q56">
        <v>3</v>
      </c>
      <c r="R56" s="8">
        <f t="shared" si="4"/>
        <v>595.51742976066589</v>
      </c>
      <c r="S56" s="8">
        <f t="shared" si="5"/>
        <v>5</v>
      </c>
    </row>
    <row r="57" spans="3:19" x14ac:dyDescent="0.25">
      <c r="C57">
        <v>48</v>
      </c>
      <c r="D57">
        <v>1</v>
      </c>
      <c r="E57">
        <v>1</v>
      </c>
      <c r="F57" s="8">
        <f t="shared" si="0"/>
        <v>0.2577514792899408</v>
      </c>
      <c r="G57" s="8">
        <f t="shared" si="1"/>
        <v>1</v>
      </c>
      <c r="I57">
        <v>71</v>
      </c>
      <c r="J57">
        <v>1</v>
      </c>
      <c r="K57">
        <v>3</v>
      </c>
      <c r="L57" s="8" t="str">
        <f t="shared" si="2"/>
        <v/>
      </c>
      <c r="M57" s="8" t="str">
        <f t="shared" si="3"/>
        <v/>
      </c>
      <c r="O57">
        <v>164</v>
      </c>
      <c r="P57">
        <v>78</v>
      </c>
      <c r="Q57">
        <v>3</v>
      </c>
      <c r="R57" s="8">
        <f t="shared" si="4"/>
        <v>2361.6464620187303</v>
      </c>
      <c r="S57" s="8">
        <f t="shared" si="5"/>
        <v>78</v>
      </c>
    </row>
    <row r="58" spans="3:19" x14ac:dyDescent="0.25">
      <c r="C58">
        <v>49</v>
      </c>
      <c r="D58">
        <v>1</v>
      </c>
      <c r="E58">
        <v>1</v>
      </c>
      <c r="F58" s="8">
        <f t="shared" si="0"/>
        <v>0.2577514792899408</v>
      </c>
      <c r="G58" s="8">
        <f t="shared" si="1"/>
        <v>1</v>
      </c>
      <c r="I58">
        <v>74</v>
      </c>
      <c r="J58">
        <v>25</v>
      </c>
      <c r="K58">
        <v>2</v>
      </c>
      <c r="L58" s="8">
        <f t="shared" si="2"/>
        <v>29.85841836734695</v>
      </c>
      <c r="M58" s="8">
        <f t="shared" si="3"/>
        <v>25</v>
      </c>
      <c r="O58">
        <v>166</v>
      </c>
      <c r="P58">
        <v>3</v>
      </c>
      <c r="Q58">
        <v>3</v>
      </c>
      <c r="R58" s="8">
        <f t="shared" si="4"/>
        <v>697.13033298647235</v>
      </c>
      <c r="S58" s="8">
        <f t="shared" si="5"/>
        <v>3</v>
      </c>
    </row>
    <row r="59" spans="3:19" x14ac:dyDescent="0.25">
      <c r="C59">
        <v>50</v>
      </c>
      <c r="D59">
        <v>1</v>
      </c>
      <c r="E59">
        <v>1</v>
      </c>
      <c r="F59" s="8">
        <f t="shared" si="0"/>
        <v>0.2577514792899408</v>
      </c>
      <c r="G59" s="8">
        <f t="shared" si="1"/>
        <v>1</v>
      </c>
      <c r="I59">
        <v>76</v>
      </c>
      <c r="J59">
        <v>1</v>
      </c>
      <c r="K59">
        <v>2</v>
      </c>
      <c r="L59" s="8">
        <f t="shared" si="2"/>
        <v>343.57270408163259</v>
      </c>
      <c r="M59" s="8">
        <f t="shared" si="3"/>
        <v>1</v>
      </c>
      <c r="O59">
        <v>167</v>
      </c>
      <c r="P59">
        <v>21</v>
      </c>
      <c r="Q59">
        <v>3</v>
      </c>
      <c r="R59" s="8">
        <f t="shared" si="4"/>
        <v>70.614203954214346</v>
      </c>
      <c r="S59" s="8">
        <f t="shared" si="5"/>
        <v>21</v>
      </c>
    </row>
    <row r="60" spans="3:19" x14ac:dyDescent="0.25">
      <c r="C60">
        <v>51</v>
      </c>
      <c r="D60">
        <v>1</v>
      </c>
      <c r="E60">
        <v>1</v>
      </c>
      <c r="F60" s="8">
        <f t="shared" si="0"/>
        <v>0.2577514792899408</v>
      </c>
      <c r="G60" s="8">
        <f t="shared" si="1"/>
        <v>1</v>
      </c>
      <c r="I60">
        <v>77</v>
      </c>
      <c r="J60">
        <v>1</v>
      </c>
      <c r="K60">
        <v>2</v>
      </c>
      <c r="L60" s="8">
        <f t="shared" si="2"/>
        <v>343.57270408163259</v>
      </c>
      <c r="M60" s="8">
        <f t="shared" si="3"/>
        <v>1</v>
      </c>
      <c r="O60">
        <v>175</v>
      </c>
      <c r="P60">
        <v>20</v>
      </c>
      <c r="Q60">
        <v>3</v>
      </c>
      <c r="R60" s="8">
        <f t="shared" si="4"/>
        <v>88.420655567117578</v>
      </c>
      <c r="S60" s="8">
        <f t="shared" si="5"/>
        <v>20</v>
      </c>
    </row>
    <row r="61" spans="3:19" x14ac:dyDescent="0.25">
      <c r="C61">
        <v>52</v>
      </c>
      <c r="D61">
        <v>1</v>
      </c>
      <c r="E61">
        <v>1</v>
      </c>
      <c r="F61" s="8">
        <f t="shared" si="0"/>
        <v>0.2577514792899408</v>
      </c>
      <c r="G61" s="8">
        <f t="shared" si="1"/>
        <v>1</v>
      </c>
      <c r="I61">
        <v>81</v>
      </c>
      <c r="J61">
        <v>9</v>
      </c>
      <c r="K61">
        <v>3</v>
      </c>
      <c r="L61" s="8" t="str">
        <f t="shared" si="2"/>
        <v/>
      </c>
      <c r="M61" s="8" t="str">
        <f t="shared" si="3"/>
        <v/>
      </c>
      <c r="O61">
        <v>179</v>
      </c>
      <c r="P61">
        <v>32</v>
      </c>
      <c r="Q61">
        <v>3</v>
      </c>
      <c r="R61" s="8">
        <f t="shared" si="4"/>
        <v>6.7432362122788803</v>
      </c>
      <c r="S61" s="8">
        <f t="shared" si="5"/>
        <v>32</v>
      </c>
    </row>
    <row r="62" spans="3:19" x14ac:dyDescent="0.25">
      <c r="C62">
        <v>53</v>
      </c>
      <c r="D62">
        <v>1</v>
      </c>
      <c r="E62">
        <v>1</v>
      </c>
      <c r="F62" s="8">
        <f t="shared" si="0"/>
        <v>0.2577514792899408</v>
      </c>
      <c r="G62" s="8">
        <f t="shared" si="1"/>
        <v>1</v>
      </c>
      <c r="I62">
        <v>82</v>
      </c>
      <c r="J62">
        <v>14</v>
      </c>
      <c r="K62">
        <v>2</v>
      </c>
      <c r="L62" s="8">
        <f t="shared" si="2"/>
        <v>30.644132653061213</v>
      </c>
      <c r="M62" s="8">
        <f t="shared" si="3"/>
        <v>14</v>
      </c>
      <c r="O62">
        <v>180</v>
      </c>
      <c r="P62">
        <v>27</v>
      </c>
      <c r="Q62">
        <v>3</v>
      </c>
      <c r="R62" s="8">
        <f t="shared" si="4"/>
        <v>5.7754942767950013</v>
      </c>
      <c r="S62" s="8">
        <f t="shared" si="5"/>
        <v>27</v>
      </c>
    </row>
    <row r="63" spans="3:19" x14ac:dyDescent="0.25">
      <c r="C63">
        <v>54</v>
      </c>
      <c r="D63">
        <v>1</v>
      </c>
      <c r="E63">
        <v>1</v>
      </c>
      <c r="F63" s="8">
        <f t="shared" si="0"/>
        <v>0.2577514792899408</v>
      </c>
      <c r="G63" s="8">
        <f t="shared" si="1"/>
        <v>1</v>
      </c>
      <c r="I63">
        <v>83</v>
      </c>
      <c r="J63">
        <v>16</v>
      </c>
      <c r="K63">
        <v>2</v>
      </c>
      <c r="L63" s="8">
        <f t="shared" si="2"/>
        <v>12.501275510204074</v>
      </c>
      <c r="M63" s="8">
        <f t="shared" si="3"/>
        <v>16</v>
      </c>
      <c r="O63">
        <v>181</v>
      </c>
      <c r="P63">
        <v>105</v>
      </c>
      <c r="Q63">
        <v>5</v>
      </c>
      <c r="R63" s="8" t="str">
        <f t="shared" si="4"/>
        <v/>
      </c>
      <c r="S63" s="8" t="str">
        <f t="shared" si="5"/>
        <v/>
      </c>
    </row>
    <row r="64" spans="3:19" x14ac:dyDescent="0.25">
      <c r="C64">
        <v>55</v>
      </c>
      <c r="D64">
        <v>1</v>
      </c>
      <c r="E64">
        <v>1</v>
      </c>
      <c r="F64" s="8">
        <f t="shared" si="0"/>
        <v>0.2577514792899408</v>
      </c>
      <c r="G64" s="8">
        <f t="shared" si="1"/>
        <v>1</v>
      </c>
      <c r="I64">
        <v>88</v>
      </c>
      <c r="J64">
        <v>1</v>
      </c>
      <c r="K64">
        <v>2</v>
      </c>
      <c r="L64" s="8">
        <f t="shared" si="2"/>
        <v>343.57270408163259</v>
      </c>
      <c r="M64" s="8">
        <f t="shared" si="3"/>
        <v>1</v>
      </c>
      <c r="O64">
        <v>187</v>
      </c>
      <c r="P64">
        <v>4</v>
      </c>
      <c r="Q64">
        <v>3</v>
      </c>
      <c r="R64" s="8">
        <f t="shared" si="4"/>
        <v>645.32388137356918</v>
      </c>
      <c r="S64" s="8">
        <f t="shared" si="5"/>
        <v>4</v>
      </c>
    </row>
    <row r="65" spans="3:19" x14ac:dyDescent="0.25">
      <c r="C65">
        <v>56</v>
      </c>
      <c r="D65">
        <v>1</v>
      </c>
      <c r="E65">
        <v>1</v>
      </c>
      <c r="F65" s="8">
        <f t="shared" si="0"/>
        <v>0.2577514792899408</v>
      </c>
      <c r="G65" s="8">
        <f t="shared" si="1"/>
        <v>1</v>
      </c>
      <c r="I65">
        <v>89</v>
      </c>
      <c r="J65">
        <v>25</v>
      </c>
      <c r="K65">
        <v>2</v>
      </c>
      <c r="L65" s="8">
        <f t="shared" si="2"/>
        <v>29.85841836734695</v>
      </c>
      <c r="M65" s="8">
        <f t="shared" si="3"/>
        <v>25</v>
      </c>
      <c r="O65">
        <v>189</v>
      </c>
      <c r="P65">
        <v>99</v>
      </c>
      <c r="Q65">
        <v>3</v>
      </c>
      <c r="R65" s="8">
        <f t="shared" si="4"/>
        <v>4843.710978147762</v>
      </c>
      <c r="S65" s="8">
        <f t="shared" si="5"/>
        <v>99</v>
      </c>
    </row>
    <row r="66" spans="3:19" x14ac:dyDescent="0.25">
      <c r="C66">
        <v>57</v>
      </c>
      <c r="D66">
        <v>1</v>
      </c>
      <c r="E66">
        <v>1</v>
      </c>
      <c r="F66" s="8">
        <f t="shared" si="0"/>
        <v>0.2577514792899408</v>
      </c>
      <c r="G66" s="8">
        <f t="shared" si="1"/>
        <v>1</v>
      </c>
      <c r="I66">
        <v>90</v>
      </c>
      <c r="J66">
        <v>10</v>
      </c>
      <c r="K66">
        <v>2</v>
      </c>
      <c r="L66" s="8">
        <f t="shared" si="2"/>
        <v>90.929846938775498</v>
      </c>
      <c r="M66" s="8">
        <f t="shared" si="3"/>
        <v>10</v>
      </c>
      <c r="O66">
        <v>195</v>
      </c>
      <c r="P66">
        <v>4</v>
      </c>
      <c r="Q66">
        <v>3</v>
      </c>
      <c r="R66" s="8">
        <f t="shared" si="4"/>
        <v>645.32388137356918</v>
      </c>
      <c r="S66" s="8">
        <f t="shared" si="5"/>
        <v>4</v>
      </c>
    </row>
    <row r="67" spans="3:19" x14ac:dyDescent="0.25">
      <c r="C67">
        <v>58</v>
      </c>
      <c r="D67">
        <v>1</v>
      </c>
      <c r="E67">
        <v>3</v>
      </c>
      <c r="F67" s="8" t="str">
        <f t="shared" si="0"/>
        <v/>
      </c>
      <c r="G67" s="8" t="str">
        <f t="shared" si="1"/>
        <v/>
      </c>
      <c r="I67">
        <v>91</v>
      </c>
      <c r="J67">
        <v>19</v>
      </c>
      <c r="K67">
        <v>2</v>
      </c>
      <c r="L67" s="8">
        <f t="shared" si="2"/>
        <v>0.28698979591836626</v>
      </c>
      <c r="M67" s="8">
        <f t="shared" si="3"/>
        <v>19</v>
      </c>
      <c r="O67">
        <v>197</v>
      </c>
      <c r="P67">
        <v>3</v>
      </c>
      <c r="Q67">
        <v>3</v>
      </c>
      <c r="R67" s="8">
        <f t="shared" si="4"/>
        <v>697.13033298647235</v>
      </c>
      <c r="S67" s="8">
        <f t="shared" si="5"/>
        <v>3</v>
      </c>
    </row>
    <row r="68" spans="3:19" x14ac:dyDescent="0.25">
      <c r="C68">
        <v>59</v>
      </c>
      <c r="D68">
        <v>16</v>
      </c>
      <c r="E68">
        <v>1</v>
      </c>
      <c r="F68" s="8">
        <f t="shared" si="0"/>
        <v>210.02698224852071</v>
      </c>
      <c r="G68" s="8">
        <f t="shared" si="1"/>
        <v>16</v>
      </c>
      <c r="I68">
        <v>92</v>
      </c>
      <c r="J68">
        <v>99</v>
      </c>
      <c r="K68">
        <v>3</v>
      </c>
      <c r="L68" s="8" t="str">
        <f t="shared" si="2"/>
        <v/>
      </c>
      <c r="M68" s="8" t="str">
        <f t="shared" si="3"/>
        <v/>
      </c>
      <c r="O68">
        <v>202</v>
      </c>
      <c r="P68">
        <v>27</v>
      </c>
      <c r="Q68">
        <v>3</v>
      </c>
      <c r="R68" s="8">
        <f t="shared" si="4"/>
        <v>5.7754942767950013</v>
      </c>
      <c r="S68" s="8">
        <f t="shared" si="5"/>
        <v>27</v>
      </c>
    </row>
    <row r="69" spans="3:19" x14ac:dyDescent="0.25">
      <c r="C69">
        <v>60</v>
      </c>
      <c r="D69">
        <v>1</v>
      </c>
      <c r="E69">
        <v>1</v>
      </c>
      <c r="F69" s="8">
        <f t="shared" si="0"/>
        <v>0.2577514792899408</v>
      </c>
      <c r="G69" s="8">
        <f t="shared" si="1"/>
        <v>1</v>
      </c>
      <c r="I69">
        <v>93</v>
      </c>
      <c r="J69">
        <v>6</v>
      </c>
      <c r="K69">
        <v>3</v>
      </c>
      <c r="L69" s="8" t="str">
        <f t="shared" si="2"/>
        <v/>
      </c>
      <c r="M69" s="8" t="str">
        <f t="shared" si="3"/>
        <v/>
      </c>
      <c r="O69">
        <v>206</v>
      </c>
      <c r="P69">
        <v>7</v>
      </c>
      <c r="Q69">
        <v>3</v>
      </c>
      <c r="R69" s="8">
        <f t="shared" si="4"/>
        <v>501.90452653485949</v>
      </c>
      <c r="S69" s="8">
        <f t="shared" si="5"/>
        <v>7</v>
      </c>
    </row>
    <row r="70" spans="3:19" x14ac:dyDescent="0.25">
      <c r="C70">
        <v>61</v>
      </c>
      <c r="D70">
        <v>1</v>
      </c>
      <c r="E70">
        <v>1</v>
      </c>
      <c r="F70" s="8">
        <f t="shared" si="0"/>
        <v>0.2577514792899408</v>
      </c>
      <c r="G70" s="8">
        <f t="shared" si="1"/>
        <v>1</v>
      </c>
      <c r="I70">
        <v>94</v>
      </c>
      <c r="J70">
        <v>7</v>
      </c>
      <c r="K70">
        <v>2</v>
      </c>
      <c r="L70" s="8">
        <f t="shared" si="2"/>
        <v>157.14413265306121</v>
      </c>
      <c r="M70" s="8">
        <f t="shared" si="3"/>
        <v>7</v>
      </c>
      <c r="O70">
        <v>208</v>
      </c>
      <c r="P70">
        <v>4</v>
      </c>
      <c r="Q70">
        <v>3</v>
      </c>
      <c r="R70" s="8">
        <f t="shared" si="4"/>
        <v>645.32388137356918</v>
      </c>
      <c r="S70" s="8">
        <f t="shared" si="5"/>
        <v>4</v>
      </c>
    </row>
    <row r="71" spans="3:19" x14ac:dyDescent="0.25">
      <c r="C71">
        <v>62</v>
      </c>
      <c r="D71">
        <v>4</v>
      </c>
      <c r="E71">
        <v>1</v>
      </c>
      <c r="F71" s="8">
        <f t="shared" si="0"/>
        <v>6.2115976331360949</v>
      </c>
      <c r="G71" s="8">
        <f t="shared" si="1"/>
        <v>4</v>
      </c>
      <c r="I71">
        <v>95</v>
      </c>
      <c r="J71">
        <v>86</v>
      </c>
      <c r="K71">
        <v>3</v>
      </c>
      <c r="L71" s="8" t="str">
        <f t="shared" si="2"/>
        <v/>
      </c>
      <c r="M71" s="8" t="str">
        <f t="shared" si="3"/>
        <v/>
      </c>
      <c r="O71">
        <v>213</v>
      </c>
      <c r="P71">
        <v>10</v>
      </c>
      <c r="Q71">
        <v>5</v>
      </c>
      <c r="R71" s="8" t="str">
        <f t="shared" si="4"/>
        <v/>
      </c>
      <c r="S71" s="8" t="str">
        <f t="shared" si="5"/>
        <v/>
      </c>
    </row>
    <row r="72" spans="3:19" x14ac:dyDescent="0.25">
      <c r="C72">
        <v>63</v>
      </c>
      <c r="D72">
        <v>1</v>
      </c>
      <c r="E72">
        <v>2</v>
      </c>
      <c r="F72" s="8" t="str">
        <f t="shared" si="0"/>
        <v/>
      </c>
      <c r="G72" s="8" t="str">
        <f t="shared" si="1"/>
        <v/>
      </c>
      <c r="I72">
        <v>96</v>
      </c>
      <c r="J72">
        <v>1</v>
      </c>
      <c r="K72">
        <v>2</v>
      </c>
      <c r="L72" s="8">
        <f t="shared" si="2"/>
        <v>343.57270408163259</v>
      </c>
      <c r="M72" s="8">
        <f t="shared" si="3"/>
        <v>1</v>
      </c>
      <c r="O72">
        <v>221</v>
      </c>
      <c r="P72">
        <v>13</v>
      </c>
      <c r="Q72">
        <v>4</v>
      </c>
      <c r="R72" s="8" t="str">
        <f t="shared" si="4"/>
        <v/>
      </c>
      <c r="S72" s="8" t="str">
        <f t="shared" si="5"/>
        <v/>
      </c>
    </row>
    <row r="73" spans="3:19" x14ac:dyDescent="0.25">
      <c r="C73">
        <v>64</v>
      </c>
      <c r="D73">
        <v>2</v>
      </c>
      <c r="E73">
        <v>1</v>
      </c>
      <c r="F73" s="8">
        <f t="shared" si="0"/>
        <v>0.24236686390532547</v>
      </c>
      <c r="G73" s="8">
        <f t="shared" si="1"/>
        <v>2</v>
      </c>
      <c r="I73">
        <v>98</v>
      </c>
      <c r="J73">
        <v>1</v>
      </c>
      <c r="K73">
        <v>2</v>
      </c>
      <c r="L73" s="8">
        <f t="shared" si="2"/>
        <v>343.57270408163259</v>
      </c>
      <c r="M73" s="8">
        <f t="shared" si="3"/>
        <v>1</v>
      </c>
      <c r="O73">
        <v>222</v>
      </c>
      <c r="P73">
        <v>12</v>
      </c>
      <c r="Q73">
        <v>4</v>
      </c>
      <c r="R73" s="8" t="str">
        <f t="shared" si="4"/>
        <v/>
      </c>
      <c r="S73" s="8" t="str">
        <f t="shared" si="5"/>
        <v/>
      </c>
    </row>
    <row r="74" spans="3:19" x14ac:dyDescent="0.25">
      <c r="C74">
        <v>65</v>
      </c>
      <c r="D74">
        <v>1</v>
      </c>
      <c r="E74">
        <v>1</v>
      </c>
      <c r="F74" s="8">
        <f t="shared" ref="F74:F137" si="10">IF(E74=1,(D74-$D$2)*(D74-$D$2),"")</f>
        <v>0.2577514792899408</v>
      </c>
      <c r="G74" s="8">
        <f t="shared" ref="G74:G137" si="11">IF(E74=1,D74,"")</f>
        <v>1</v>
      </c>
      <c r="I74">
        <v>99</v>
      </c>
      <c r="J74">
        <v>25</v>
      </c>
      <c r="K74">
        <v>3</v>
      </c>
      <c r="L74" s="8" t="str">
        <f t="shared" ref="L74:L137" si="12">IF(K74=2,(J74-$J$2)*(J74-$J$2),"")</f>
        <v/>
      </c>
      <c r="M74" s="8" t="str">
        <f t="shared" ref="M74:M137" si="13">IF(K74=2,J74,"")</f>
        <v/>
      </c>
      <c r="O74">
        <v>227</v>
      </c>
      <c r="P74">
        <v>15</v>
      </c>
      <c r="Q74">
        <v>3</v>
      </c>
      <c r="R74" s="8">
        <f t="shared" ref="R74:R92" si="14">IF(Q74=3,(P74-$P$2)*(P74-$P$2),"")</f>
        <v>207.45291363163369</v>
      </c>
      <c r="S74" s="8">
        <f t="shared" ref="S74:S92" si="15">IF(Q74=3,P74,"")</f>
        <v>15</v>
      </c>
    </row>
    <row r="75" spans="3:19" x14ac:dyDescent="0.25">
      <c r="C75">
        <v>66</v>
      </c>
      <c r="D75">
        <v>1</v>
      </c>
      <c r="E75">
        <v>3</v>
      </c>
      <c r="F75" s="8" t="str">
        <f t="shared" si="10"/>
        <v/>
      </c>
      <c r="G75" s="8" t="str">
        <f t="shared" si="11"/>
        <v/>
      </c>
      <c r="I75">
        <v>100</v>
      </c>
      <c r="J75">
        <v>100</v>
      </c>
      <c r="K75">
        <v>2</v>
      </c>
      <c r="L75" s="8">
        <f t="shared" si="12"/>
        <v>6474.5012755102052</v>
      </c>
      <c r="M75" s="8">
        <f t="shared" si="13"/>
        <v>100</v>
      </c>
      <c r="O75">
        <v>235</v>
      </c>
      <c r="P75">
        <v>14</v>
      </c>
      <c r="Q75">
        <v>3</v>
      </c>
      <c r="R75" s="8">
        <f t="shared" si="14"/>
        <v>237.25936524453692</v>
      </c>
      <c r="S75" s="8">
        <f t="shared" si="15"/>
        <v>14</v>
      </c>
    </row>
    <row r="76" spans="3:19" x14ac:dyDescent="0.25">
      <c r="C76">
        <v>67</v>
      </c>
      <c r="D76">
        <v>1</v>
      </c>
      <c r="E76">
        <v>1</v>
      </c>
      <c r="F76" s="8">
        <f t="shared" si="10"/>
        <v>0.2577514792899408</v>
      </c>
      <c r="G76" s="8">
        <f t="shared" si="11"/>
        <v>1</v>
      </c>
      <c r="I76">
        <v>102</v>
      </c>
      <c r="J76">
        <v>20</v>
      </c>
      <c r="K76">
        <v>3</v>
      </c>
      <c r="L76" s="8" t="str">
        <f t="shared" si="12"/>
        <v/>
      </c>
      <c r="M76" s="8" t="str">
        <f t="shared" si="13"/>
        <v/>
      </c>
      <c r="O76">
        <v>238</v>
      </c>
      <c r="P76">
        <v>26</v>
      </c>
      <c r="Q76">
        <v>3</v>
      </c>
      <c r="R76" s="8">
        <f t="shared" si="14"/>
        <v>11.581945889698225</v>
      </c>
      <c r="S76" s="8">
        <f t="shared" si="15"/>
        <v>26</v>
      </c>
    </row>
    <row r="77" spans="3:19" x14ac:dyDescent="0.25">
      <c r="C77">
        <v>68</v>
      </c>
      <c r="D77">
        <v>1</v>
      </c>
      <c r="E77">
        <v>1</v>
      </c>
      <c r="F77" s="8">
        <f t="shared" si="10"/>
        <v>0.2577514792899408</v>
      </c>
      <c r="G77" s="8">
        <f t="shared" si="11"/>
        <v>1</v>
      </c>
      <c r="I77">
        <v>103</v>
      </c>
      <c r="J77">
        <v>7</v>
      </c>
      <c r="K77">
        <v>3</v>
      </c>
      <c r="L77" s="8" t="str">
        <f t="shared" si="12"/>
        <v/>
      </c>
      <c r="M77" s="8" t="str">
        <f t="shared" si="13"/>
        <v/>
      </c>
      <c r="O77">
        <v>240</v>
      </c>
      <c r="P77">
        <v>27</v>
      </c>
      <c r="Q77">
        <v>4</v>
      </c>
      <c r="R77" s="8" t="str">
        <f t="shared" si="14"/>
        <v/>
      </c>
      <c r="S77" s="8" t="str">
        <f t="shared" si="15"/>
        <v/>
      </c>
    </row>
    <row r="78" spans="3:19" x14ac:dyDescent="0.25">
      <c r="C78">
        <v>69</v>
      </c>
      <c r="D78">
        <v>1</v>
      </c>
      <c r="E78">
        <v>1</v>
      </c>
      <c r="F78" s="8">
        <f t="shared" si="10"/>
        <v>0.2577514792899408</v>
      </c>
      <c r="G78" s="8">
        <f t="shared" si="11"/>
        <v>1</v>
      </c>
      <c r="I78">
        <v>104</v>
      </c>
      <c r="J78">
        <v>1</v>
      </c>
      <c r="K78">
        <v>2</v>
      </c>
      <c r="L78" s="8">
        <f t="shared" si="12"/>
        <v>343.57270408163259</v>
      </c>
      <c r="M78" s="8">
        <f t="shared" si="13"/>
        <v>1</v>
      </c>
      <c r="O78">
        <v>242</v>
      </c>
      <c r="P78">
        <v>53</v>
      </c>
      <c r="Q78">
        <v>4</v>
      </c>
      <c r="R78" s="8" t="str">
        <f t="shared" si="14"/>
        <v/>
      </c>
      <c r="S78" s="8" t="str">
        <f t="shared" si="15"/>
        <v/>
      </c>
    </row>
    <row r="79" spans="3:19" x14ac:dyDescent="0.25">
      <c r="C79">
        <v>70</v>
      </c>
      <c r="D79">
        <v>1</v>
      </c>
      <c r="E79">
        <v>1</v>
      </c>
      <c r="F79" s="8">
        <f t="shared" si="10"/>
        <v>0.2577514792899408</v>
      </c>
      <c r="G79" s="8">
        <f t="shared" si="11"/>
        <v>1</v>
      </c>
      <c r="I79">
        <v>105</v>
      </c>
      <c r="J79">
        <v>26</v>
      </c>
      <c r="K79">
        <v>3</v>
      </c>
      <c r="L79" s="8" t="str">
        <f t="shared" si="12"/>
        <v/>
      </c>
      <c r="M79" s="8" t="str">
        <f t="shared" si="13"/>
        <v/>
      </c>
      <c r="O79">
        <v>243</v>
      </c>
      <c r="P79">
        <v>11</v>
      </c>
      <c r="Q79">
        <v>3</v>
      </c>
      <c r="R79" s="8">
        <f t="shared" si="14"/>
        <v>338.67872008324662</v>
      </c>
      <c r="S79" s="8">
        <f t="shared" si="15"/>
        <v>11</v>
      </c>
    </row>
    <row r="80" spans="3:19" x14ac:dyDescent="0.25">
      <c r="C80">
        <v>71</v>
      </c>
      <c r="D80">
        <v>1</v>
      </c>
      <c r="E80">
        <v>3</v>
      </c>
      <c r="F80" s="8" t="str">
        <f t="shared" si="10"/>
        <v/>
      </c>
      <c r="G80" s="8" t="str">
        <f t="shared" si="11"/>
        <v/>
      </c>
      <c r="I80">
        <v>107</v>
      </c>
      <c r="J80">
        <v>18</v>
      </c>
      <c r="K80">
        <v>2</v>
      </c>
      <c r="L80" s="8">
        <f t="shared" si="12"/>
        <v>2.3584183673469354</v>
      </c>
      <c r="M80" s="8">
        <f t="shared" si="13"/>
        <v>18</v>
      </c>
      <c r="O80">
        <v>249</v>
      </c>
      <c r="P80">
        <v>8</v>
      </c>
      <c r="Q80">
        <v>4</v>
      </c>
      <c r="R80" s="8" t="str">
        <f t="shared" si="14"/>
        <v/>
      </c>
      <c r="S80" s="8" t="str">
        <f t="shared" si="15"/>
        <v/>
      </c>
    </row>
    <row r="81" spans="3:19" x14ac:dyDescent="0.25">
      <c r="C81">
        <v>72</v>
      </c>
      <c r="D81">
        <v>2</v>
      </c>
      <c r="E81">
        <v>1</v>
      </c>
      <c r="F81" s="8">
        <f t="shared" si="10"/>
        <v>0.24236686390532547</v>
      </c>
      <c r="G81" s="8">
        <f t="shared" si="11"/>
        <v>2</v>
      </c>
      <c r="I81">
        <v>108</v>
      </c>
      <c r="J81">
        <v>14</v>
      </c>
      <c r="K81">
        <v>2</v>
      </c>
      <c r="L81" s="8">
        <f t="shared" si="12"/>
        <v>30.644132653061213</v>
      </c>
      <c r="M81" s="8">
        <f t="shared" si="13"/>
        <v>14</v>
      </c>
      <c r="O81">
        <v>259</v>
      </c>
      <c r="P81">
        <v>31</v>
      </c>
      <c r="Q81">
        <v>4</v>
      </c>
      <c r="R81" s="8" t="str">
        <f t="shared" si="14"/>
        <v/>
      </c>
      <c r="S81" s="8" t="str">
        <f t="shared" si="15"/>
        <v/>
      </c>
    </row>
    <row r="82" spans="3:19" x14ac:dyDescent="0.25">
      <c r="C82">
        <v>73</v>
      </c>
      <c r="D82">
        <v>1</v>
      </c>
      <c r="E82">
        <v>1</v>
      </c>
      <c r="F82" s="8">
        <f t="shared" si="10"/>
        <v>0.2577514792899408</v>
      </c>
      <c r="G82" s="8">
        <f t="shared" si="11"/>
        <v>1</v>
      </c>
      <c r="I82">
        <v>109</v>
      </c>
      <c r="J82">
        <v>59</v>
      </c>
      <c r="K82">
        <v>2</v>
      </c>
      <c r="L82" s="8">
        <f t="shared" si="12"/>
        <v>1557.4298469387757</v>
      </c>
      <c r="M82" s="8">
        <f t="shared" si="13"/>
        <v>59</v>
      </c>
      <c r="O82">
        <v>260</v>
      </c>
      <c r="P82">
        <v>39</v>
      </c>
      <c r="Q82">
        <v>3</v>
      </c>
      <c r="R82" s="8">
        <f t="shared" si="14"/>
        <v>92.098074921956311</v>
      </c>
      <c r="S82" s="8">
        <f t="shared" si="15"/>
        <v>39</v>
      </c>
    </row>
    <row r="83" spans="3:19" x14ac:dyDescent="0.25">
      <c r="C83">
        <v>74</v>
      </c>
      <c r="D83">
        <v>3</v>
      </c>
      <c r="E83">
        <v>1</v>
      </c>
      <c r="F83" s="8">
        <f t="shared" si="10"/>
        <v>2.2269822485207103</v>
      </c>
      <c r="G83" s="8">
        <f t="shared" si="11"/>
        <v>3</v>
      </c>
      <c r="I83">
        <v>110</v>
      </c>
      <c r="J83">
        <v>14</v>
      </c>
      <c r="K83">
        <v>2</v>
      </c>
      <c r="L83" s="8">
        <f t="shared" si="12"/>
        <v>30.644132653061213</v>
      </c>
      <c r="M83" s="8">
        <f t="shared" si="13"/>
        <v>14</v>
      </c>
      <c r="O83">
        <v>261</v>
      </c>
      <c r="P83">
        <v>34</v>
      </c>
      <c r="Q83">
        <v>3</v>
      </c>
      <c r="R83" s="8">
        <f t="shared" si="14"/>
        <v>21.130332986472432</v>
      </c>
      <c r="S83" s="8">
        <f t="shared" si="15"/>
        <v>34</v>
      </c>
    </row>
    <row r="84" spans="3:19" x14ac:dyDescent="0.25">
      <c r="C84">
        <v>75</v>
      </c>
      <c r="D84">
        <v>1</v>
      </c>
      <c r="E84">
        <v>1</v>
      </c>
      <c r="F84" s="8">
        <f t="shared" si="10"/>
        <v>0.2577514792899408</v>
      </c>
      <c r="G84" s="8">
        <f t="shared" si="11"/>
        <v>1</v>
      </c>
      <c r="I84">
        <v>111</v>
      </c>
      <c r="J84">
        <v>1</v>
      </c>
      <c r="K84">
        <v>2</v>
      </c>
      <c r="L84" s="8">
        <f t="shared" si="12"/>
        <v>343.57270408163259</v>
      </c>
      <c r="M84" s="8">
        <f t="shared" si="13"/>
        <v>1</v>
      </c>
      <c r="O84">
        <v>264</v>
      </c>
      <c r="P84">
        <v>37</v>
      </c>
      <c r="Q84">
        <v>3</v>
      </c>
      <c r="R84" s="8">
        <f t="shared" si="14"/>
        <v>57.710978147762759</v>
      </c>
      <c r="S84" s="8">
        <f t="shared" si="15"/>
        <v>37</v>
      </c>
    </row>
    <row r="85" spans="3:19" x14ac:dyDescent="0.25">
      <c r="C85">
        <v>76</v>
      </c>
      <c r="D85">
        <v>1</v>
      </c>
      <c r="E85">
        <v>2</v>
      </c>
      <c r="F85" s="8" t="str">
        <f t="shared" si="10"/>
        <v/>
      </c>
      <c r="G85" s="8" t="str">
        <f t="shared" si="11"/>
        <v/>
      </c>
      <c r="I85">
        <v>112</v>
      </c>
      <c r="J85">
        <v>22</v>
      </c>
      <c r="K85">
        <v>2</v>
      </c>
      <c r="L85" s="8">
        <f t="shared" si="12"/>
        <v>6.0727040816326578</v>
      </c>
      <c r="M85" s="8">
        <f t="shared" si="13"/>
        <v>22</v>
      </c>
      <c r="O85">
        <v>268</v>
      </c>
      <c r="P85">
        <v>12</v>
      </c>
      <c r="Q85">
        <v>3</v>
      </c>
      <c r="R85" s="8">
        <f t="shared" si="14"/>
        <v>302.87226847034339</v>
      </c>
      <c r="S85" s="8">
        <f t="shared" si="15"/>
        <v>12</v>
      </c>
    </row>
    <row r="86" spans="3:19" x14ac:dyDescent="0.25">
      <c r="C86">
        <v>77</v>
      </c>
      <c r="D86">
        <v>1</v>
      </c>
      <c r="E86">
        <v>2</v>
      </c>
      <c r="F86" s="8" t="str">
        <f t="shared" si="10"/>
        <v/>
      </c>
      <c r="G86" s="8" t="str">
        <f t="shared" si="11"/>
        <v/>
      </c>
      <c r="I86">
        <v>113</v>
      </c>
      <c r="J86">
        <v>49</v>
      </c>
      <c r="K86">
        <v>3</v>
      </c>
      <c r="L86" s="8" t="str">
        <f t="shared" si="12"/>
        <v/>
      </c>
      <c r="M86" s="8" t="str">
        <f t="shared" si="13"/>
        <v/>
      </c>
      <c r="O86">
        <v>271</v>
      </c>
      <c r="P86">
        <v>12</v>
      </c>
      <c r="Q86">
        <v>3</v>
      </c>
      <c r="R86" s="8">
        <f t="shared" si="14"/>
        <v>302.87226847034339</v>
      </c>
      <c r="S86" s="8">
        <f t="shared" si="15"/>
        <v>12</v>
      </c>
    </row>
    <row r="87" spans="3:19" x14ac:dyDescent="0.25">
      <c r="C87">
        <v>78</v>
      </c>
      <c r="D87">
        <v>1</v>
      </c>
      <c r="E87">
        <v>1</v>
      </c>
      <c r="F87" s="8">
        <f t="shared" si="10"/>
        <v>0.2577514792899408</v>
      </c>
      <c r="G87" s="8">
        <f t="shared" si="11"/>
        <v>1</v>
      </c>
      <c r="I87">
        <v>115</v>
      </c>
      <c r="J87">
        <v>45</v>
      </c>
      <c r="K87">
        <v>2</v>
      </c>
      <c r="L87" s="8">
        <f t="shared" si="12"/>
        <v>648.42984693877554</v>
      </c>
      <c r="M87" s="8">
        <f t="shared" si="13"/>
        <v>45</v>
      </c>
      <c r="O87">
        <v>273</v>
      </c>
      <c r="P87">
        <v>4</v>
      </c>
      <c r="Q87">
        <v>3</v>
      </c>
      <c r="R87" s="8">
        <f t="shared" si="14"/>
        <v>645.32388137356918</v>
      </c>
      <c r="S87" s="8">
        <f t="shared" si="15"/>
        <v>4</v>
      </c>
    </row>
    <row r="88" spans="3:19" x14ac:dyDescent="0.25">
      <c r="C88">
        <v>79</v>
      </c>
      <c r="D88">
        <v>1</v>
      </c>
      <c r="E88">
        <v>1</v>
      </c>
      <c r="F88" s="8">
        <f t="shared" si="10"/>
        <v>0.2577514792899408</v>
      </c>
      <c r="G88" s="8">
        <f t="shared" si="11"/>
        <v>1</v>
      </c>
      <c r="I88">
        <v>116</v>
      </c>
      <c r="J88">
        <v>12</v>
      </c>
      <c r="K88">
        <v>2</v>
      </c>
      <c r="L88" s="8">
        <f t="shared" si="12"/>
        <v>56.786989795918352</v>
      </c>
      <c r="M88" s="8">
        <f t="shared" si="13"/>
        <v>12</v>
      </c>
      <c r="O88">
        <v>278</v>
      </c>
      <c r="P88">
        <v>1</v>
      </c>
      <c r="Q88">
        <v>3</v>
      </c>
      <c r="R88" s="8">
        <f t="shared" si="14"/>
        <v>806.74323621227882</v>
      </c>
      <c r="S88" s="8">
        <f t="shared" si="15"/>
        <v>1</v>
      </c>
    </row>
    <row r="89" spans="3:19" x14ac:dyDescent="0.25">
      <c r="C89">
        <v>80</v>
      </c>
      <c r="D89">
        <v>1</v>
      </c>
      <c r="E89">
        <v>1</v>
      </c>
      <c r="F89" s="8">
        <f t="shared" si="10"/>
        <v>0.2577514792899408</v>
      </c>
      <c r="G89" s="8">
        <f t="shared" si="11"/>
        <v>1</v>
      </c>
      <c r="I89">
        <v>117</v>
      </c>
      <c r="J89">
        <v>13</v>
      </c>
      <c r="K89">
        <v>3</v>
      </c>
      <c r="L89" s="8" t="str">
        <f t="shared" si="12"/>
        <v/>
      </c>
      <c r="M89" s="8" t="str">
        <f t="shared" si="13"/>
        <v/>
      </c>
      <c r="O89">
        <v>279</v>
      </c>
      <c r="P89">
        <v>5</v>
      </c>
      <c r="Q89">
        <v>3</v>
      </c>
      <c r="R89" s="8">
        <f t="shared" si="14"/>
        <v>595.51742976066589</v>
      </c>
      <c r="S89" s="8">
        <f t="shared" si="15"/>
        <v>5</v>
      </c>
    </row>
    <row r="90" spans="3:19" x14ac:dyDescent="0.25">
      <c r="C90">
        <v>81</v>
      </c>
      <c r="D90">
        <v>1</v>
      </c>
      <c r="E90">
        <v>1</v>
      </c>
      <c r="F90" s="8">
        <f t="shared" si="10"/>
        <v>0.2577514792899408</v>
      </c>
      <c r="G90" s="8">
        <f t="shared" si="11"/>
        <v>1</v>
      </c>
      <c r="I90">
        <v>118</v>
      </c>
      <c r="J90">
        <v>39</v>
      </c>
      <c r="K90">
        <v>2</v>
      </c>
      <c r="L90" s="8">
        <f t="shared" si="12"/>
        <v>378.85841836734699</v>
      </c>
      <c r="M90" s="8">
        <f t="shared" si="13"/>
        <v>39</v>
      </c>
      <c r="O90">
        <v>282</v>
      </c>
      <c r="P90">
        <v>29</v>
      </c>
      <c r="Q90">
        <v>3</v>
      </c>
      <c r="R90" s="8">
        <f t="shared" si="14"/>
        <v>0.16259105098855295</v>
      </c>
      <c r="S90" s="8">
        <f t="shared" si="15"/>
        <v>29</v>
      </c>
    </row>
    <row r="91" spans="3:19" x14ac:dyDescent="0.25">
      <c r="C91">
        <v>82</v>
      </c>
      <c r="D91">
        <v>2</v>
      </c>
      <c r="E91">
        <v>1</v>
      </c>
      <c r="F91" s="8">
        <f t="shared" si="10"/>
        <v>0.24236686390532547</v>
      </c>
      <c r="G91" s="8">
        <f t="shared" si="11"/>
        <v>2</v>
      </c>
      <c r="I91">
        <v>119</v>
      </c>
      <c r="J91">
        <v>1</v>
      </c>
      <c r="K91">
        <v>2</v>
      </c>
      <c r="L91" s="8">
        <f t="shared" si="12"/>
        <v>343.57270408163259</v>
      </c>
      <c r="M91" s="8">
        <f t="shared" si="13"/>
        <v>1</v>
      </c>
      <c r="O91">
        <v>285</v>
      </c>
      <c r="P91">
        <v>119</v>
      </c>
      <c r="Q91">
        <v>3</v>
      </c>
      <c r="R91" s="8">
        <f t="shared" si="14"/>
        <v>8027.5819458896976</v>
      </c>
      <c r="S91" s="8">
        <f t="shared" si="15"/>
        <v>119</v>
      </c>
    </row>
    <row r="92" spans="3:19" x14ac:dyDescent="0.25">
      <c r="C92">
        <v>83</v>
      </c>
      <c r="D92">
        <v>2</v>
      </c>
      <c r="E92">
        <v>1</v>
      </c>
      <c r="F92" s="8">
        <f t="shared" si="10"/>
        <v>0.24236686390532547</v>
      </c>
      <c r="G92" s="8">
        <f t="shared" si="11"/>
        <v>2</v>
      </c>
      <c r="I92">
        <v>121</v>
      </c>
      <c r="J92">
        <v>32</v>
      </c>
      <c r="K92">
        <v>2</v>
      </c>
      <c r="L92" s="8">
        <f t="shared" si="12"/>
        <v>155.35841836734696</v>
      </c>
      <c r="M92" s="8">
        <f t="shared" si="13"/>
        <v>32</v>
      </c>
      <c r="O92">
        <v>287</v>
      </c>
      <c r="P92">
        <v>22</v>
      </c>
      <c r="Q92">
        <v>3</v>
      </c>
      <c r="R92" s="8">
        <f t="shared" si="14"/>
        <v>54.807752341311122</v>
      </c>
      <c r="S92" s="8">
        <f t="shared" si="15"/>
        <v>22</v>
      </c>
    </row>
    <row r="93" spans="3:19" x14ac:dyDescent="0.25">
      <c r="C93">
        <v>84</v>
      </c>
      <c r="D93">
        <v>1</v>
      </c>
      <c r="E93">
        <v>1</v>
      </c>
      <c r="F93" s="8">
        <f t="shared" si="10"/>
        <v>0.2577514792899408</v>
      </c>
      <c r="G93" s="8">
        <f t="shared" si="11"/>
        <v>1</v>
      </c>
      <c r="I93">
        <v>122</v>
      </c>
      <c r="J93">
        <v>48</v>
      </c>
      <c r="K93">
        <v>2</v>
      </c>
      <c r="L93" s="8">
        <f t="shared" si="12"/>
        <v>810.21556122448987</v>
      </c>
      <c r="M93" s="8">
        <f t="shared" si="13"/>
        <v>48</v>
      </c>
    </row>
    <row r="94" spans="3:19" x14ac:dyDescent="0.25">
      <c r="C94">
        <v>85</v>
      </c>
      <c r="D94">
        <v>1</v>
      </c>
      <c r="E94">
        <v>1</v>
      </c>
      <c r="F94" s="8">
        <f t="shared" si="10"/>
        <v>0.2577514792899408</v>
      </c>
      <c r="G94" s="8">
        <f t="shared" si="11"/>
        <v>1</v>
      </c>
      <c r="I94">
        <v>124</v>
      </c>
      <c r="J94">
        <v>68</v>
      </c>
      <c r="K94">
        <v>3</v>
      </c>
      <c r="L94" s="8" t="str">
        <f t="shared" si="12"/>
        <v/>
      </c>
      <c r="M94" s="8" t="str">
        <f t="shared" si="13"/>
        <v/>
      </c>
    </row>
    <row r="95" spans="3:19" x14ac:dyDescent="0.25">
      <c r="C95">
        <v>86</v>
      </c>
      <c r="D95">
        <v>4</v>
      </c>
      <c r="E95">
        <v>1</v>
      </c>
      <c r="F95" s="8">
        <f t="shared" si="10"/>
        <v>6.2115976331360949</v>
      </c>
      <c r="G95" s="8">
        <f t="shared" si="11"/>
        <v>4</v>
      </c>
      <c r="I95">
        <v>128</v>
      </c>
      <c r="J95">
        <v>1</v>
      </c>
      <c r="K95">
        <v>2</v>
      </c>
      <c r="L95" s="8">
        <f t="shared" si="12"/>
        <v>343.57270408163259</v>
      </c>
      <c r="M95" s="8">
        <f t="shared" si="13"/>
        <v>1</v>
      </c>
    </row>
    <row r="96" spans="3:19" x14ac:dyDescent="0.25">
      <c r="C96">
        <v>87</v>
      </c>
      <c r="D96">
        <v>2</v>
      </c>
      <c r="E96">
        <v>1</v>
      </c>
      <c r="F96" s="8">
        <f t="shared" si="10"/>
        <v>0.24236686390532547</v>
      </c>
      <c r="G96" s="8">
        <f t="shared" si="11"/>
        <v>2</v>
      </c>
      <c r="I96">
        <v>129</v>
      </c>
      <c r="J96">
        <v>23</v>
      </c>
      <c r="K96">
        <v>4</v>
      </c>
      <c r="L96" s="8" t="str">
        <f t="shared" si="12"/>
        <v/>
      </c>
      <c r="M96" s="8" t="str">
        <f t="shared" si="13"/>
        <v/>
      </c>
    </row>
    <row r="97" spans="3:13" x14ac:dyDescent="0.25">
      <c r="C97">
        <v>88</v>
      </c>
      <c r="D97">
        <v>1</v>
      </c>
      <c r="E97">
        <v>2</v>
      </c>
      <c r="F97" s="8" t="str">
        <f t="shared" si="10"/>
        <v/>
      </c>
      <c r="G97" s="8" t="str">
        <f t="shared" si="11"/>
        <v/>
      </c>
      <c r="I97">
        <v>131</v>
      </c>
      <c r="J97">
        <v>99</v>
      </c>
      <c r="K97">
        <v>3</v>
      </c>
      <c r="L97" s="8" t="str">
        <f t="shared" si="12"/>
        <v/>
      </c>
      <c r="M97" s="8" t="str">
        <f t="shared" si="13"/>
        <v/>
      </c>
    </row>
    <row r="98" spans="3:13" x14ac:dyDescent="0.25">
      <c r="C98">
        <v>89</v>
      </c>
      <c r="D98">
        <v>1</v>
      </c>
      <c r="E98">
        <v>1</v>
      </c>
      <c r="F98" s="8">
        <f t="shared" si="10"/>
        <v>0.2577514792899408</v>
      </c>
      <c r="G98" s="8">
        <f t="shared" si="11"/>
        <v>1</v>
      </c>
      <c r="I98">
        <v>132</v>
      </c>
      <c r="J98">
        <v>1</v>
      </c>
      <c r="K98">
        <v>2</v>
      </c>
      <c r="L98" s="8">
        <f t="shared" si="12"/>
        <v>343.57270408163259</v>
      </c>
      <c r="M98" s="8">
        <f t="shared" si="13"/>
        <v>1</v>
      </c>
    </row>
    <row r="99" spans="3:13" x14ac:dyDescent="0.25">
      <c r="C99">
        <v>90</v>
      </c>
      <c r="D99">
        <v>1</v>
      </c>
      <c r="E99">
        <v>1</v>
      </c>
      <c r="F99" s="8">
        <f t="shared" si="10"/>
        <v>0.2577514792899408</v>
      </c>
      <c r="G99" s="8">
        <f t="shared" si="11"/>
        <v>1</v>
      </c>
      <c r="I99">
        <v>133</v>
      </c>
      <c r="J99">
        <v>19</v>
      </c>
      <c r="K99">
        <v>2</v>
      </c>
      <c r="L99" s="8">
        <f t="shared" si="12"/>
        <v>0.28698979591836626</v>
      </c>
      <c r="M99" s="8">
        <f t="shared" si="13"/>
        <v>19</v>
      </c>
    </row>
    <row r="100" spans="3:13" x14ac:dyDescent="0.25">
      <c r="C100">
        <v>91</v>
      </c>
      <c r="D100">
        <v>1</v>
      </c>
      <c r="E100">
        <v>1</v>
      </c>
      <c r="F100" s="8">
        <f t="shared" si="10"/>
        <v>0.2577514792899408</v>
      </c>
      <c r="G100" s="8">
        <f t="shared" si="11"/>
        <v>1</v>
      </c>
      <c r="I100">
        <v>134</v>
      </c>
      <c r="J100">
        <v>12</v>
      </c>
      <c r="K100">
        <v>3</v>
      </c>
      <c r="L100" s="8" t="str">
        <f t="shared" si="12"/>
        <v/>
      </c>
      <c r="M100" s="8" t="str">
        <f t="shared" si="13"/>
        <v/>
      </c>
    </row>
    <row r="101" spans="3:13" x14ac:dyDescent="0.25">
      <c r="C101">
        <v>92</v>
      </c>
      <c r="D101">
        <v>6</v>
      </c>
      <c r="E101">
        <v>1</v>
      </c>
      <c r="F101" s="8">
        <f t="shared" si="10"/>
        <v>20.180828402366863</v>
      </c>
      <c r="G101" s="8">
        <f t="shared" si="11"/>
        <v>6</v>
      </c>
      <c r="I101">
        <v>135</v>
      </c>
      <c r="J101">
        <v>17</v>
      </c>
      <c r="K101">
        <v>2</v>
      </c>
      <c r="L101" s="8">
        <f t="shared" si="12"/>
        <v>6.4298469387755048</v>
      </c>
      <c r="M101" s="8">
        <f t="shared" si="13"/>
        <v>17</v>
      </c>
    </row>
    <row r="102" spans="3:13" x14ac:dyDescent="0.25">
      <c r="C102">
        <v>93</v>
      </c>
      <c r="D102">
        <v>1</v>
      </c>
      <c r="E102">
        <v>1</v>
      </c>
      <c r="F102" s="8">
        <f t="shared" si="10"/>
        <v>0.2577514792899408</v>
      </c>
      <c r="G102" s="8">
        <f t="shared" si="11"/>
        <v>1</v>
      </c>
      <c r="I102">
        <v>136</v>
      </c>
      <c r="J102">
        <v>21</v>
      </c>
      <c r="K102">
        <v>2</v>
      </c>
      <c r="L102" s="8">
        <f t="shared" si="12"/>
        <v>2.1441326530612272</v>
      </c>
      <c r="M102" s="8">
        <f t="shared" si="13"/>
        <v>21</v>
      </c>
    </row>
    <row r="103" spans="3:13" x14ac:dyDescent="0.25">
      <c r="C103">
        <v>94</v>
      </c>
      <c r="D103">
        <v>1</v>
      </c>
      <c r="E103">
        <v>1</v>
      </c>
      <c r="F103" s="8">
        <f t="shared" si="10"/>
        <v>0.2577514792899408</v>
      </c>
      <c r="G103" s="8">
        <f t="shared" si="11"/>
        <v>1</v>
      </c>
      <c r="I103">
        <v>137</v>
      </c>
      <c r="J103">
        <v>45</v>
      </c>
      <c r="K103">
        <v>2</v>
      </c>
      <c r="L103" s="8">
        <f t="shared" si="12"/>
        <v>648.42984693877554</v>
      </c>
      <c r="M103" s="8">
        <f t="shared" si="13"/>
        <v>45</v>
      </c>
    </row>
    <row r="104" spans="3:13" x14ac:dyDescent="0.25">
      <c r="C104">
        <v>95</v>
      </c>
      <c r="D104">
        <v>1</v>
      </c>
      <c r="E104">
        <v>1</v>
      </c>
      <c r="F104" s="8">
        <f t="shared" si="10"/>
        <v>0.2577514792899408</v>
      </c>
      <c r="G104" s="8">
        <f t="shared" si="11"/>
        <v>1</v>
      </c>
      <c r="I104">
        <v>138</v>
      </c>
      <c r="J104">
        <v>6</v>
      </c>
      <c r="K104">
        <v>2</v>
      </c>
      <c r="L104" s="8">
        <f t="shared" si="12"/>
        <v>183.21556122448976</v>
      </c>
      <c r="M104" s="8">
        <f t="shared" si="13"/>
        <v>6</v>
      </c>
    </row>
    <row r="105" spans="3:13" x14ac:dyDescent="0.25">
      <c r="C105">
        <v>96</v>
      </c>
      <c r="D105">
        <v>1</v>
      </c>
      <c r="E105">
        <v>2</v>
      </c>
      <c r="F105" s="8" t="str">
        <f t="shared" si="10"/>
        <v/>
      </c>
      <c r="G105" s="8" t="str">
        <f t="shared" si="11"/>
        <v/>
      </c>
      <c r="I105">
        <v>140</v>
      </c>
      <c r="J105">
        <v>52</v>
      </c>
      <c r="K105">
        <v>2</v>
      </c>
      <c r="L105" s="8">
        <f t="shared" si="12"/>
        <v>1053.9298469387757</v>
      </c>
      <c r="M105" s="8">
        <f t="shared" si="13"/>
        <v>52</v>
      </c>
    </row>
    <row r="106" spans="3:13" x14ac:dyDescent="0.25">
      <c r="C106">
        <v>97</v>
      </c>
      <c r="D106">
        <v>1</v>
      </c>
      <c r="E106">
        <v>1</v>
      </c>
      <c r="F106" s="8">
        <f t="shared" si="10"/>
        <v>0.2577514792899408</v>
      </c>
      <c r="G106" s="8">
        <f t="shared" si="11"/>
        <v>1</v>
      </c>
      <c r="I106">
        <v>141</v>
      </c>
      <c r="J106">
        <v>18</v>
      </c>
      <c r="K106">
        <v>2</v>
      </c>
      <c r="L106" s="8">
        <f t="shared" si="12"/>
        <v>2.3584183673469354</v>
      </c>
      <c r="M106" s="8">
        <f t="shared" si="13"/>
        <v>18</v>
      </c>
    </row>
    <row r="107" spans="3:13" x14ac:dyDescent="0.25">
      <c r="C107">
        <v>98</v>
      </c>
      <c r="D107">
        <v>1</v>
      </c>
      <c r="E107">
        <v>2</v>
      </c>
      <c r="F107" s="8" t="str">
        <f t="shared" si="10"/>
        <v/>
      </c>
      <c r="G107" s="8" t="str">
        <f t="shared" si="11"/>
        <v/>
      </c>
      <c r="I107">
        <v>143</v>
      </c>
      <c r="J107">
        <v>1</v>
      </c>
      <c r="K107">
        <v>3</v>
      </c>
      <c r="L107" s="8" t="str">
        <f t="shared" si="12"/>
        <v/>
      </c>
      <c r="M107" s="8" t="str">
        <f t="shared" si="13"/>
        <v/>
      </c>
    </row>
    <row r="108" spans="3:13" x14ac:dyDescent="0.25">
      <c r="C108">
        <v>99</v>
      </c>
      <c r="D108">
        <v>1</v>
      </c>
      <c r="E108">
        <v>1</v>
      </c>
      <c r="F108" s="8">
        <f t="shared" si="10"/>
        <v>0.2577514792899408</v>
      </c>
      <c r="G108" s="8">
        <f t="shared" si="11"/>
        <v>1</v>
      </c>
      <c r="I108">
        <v>147</v>
      </c>
      <c r="J108">
        <v>22</v>
      </c>
      <c r="K108">
        <v>2</v>
      </c>
      <c r="L108" s="8">
        <f t="shared" si="12"/>
        <v>6.0727040816326578</v>
      </c>
      <c r="M108" s="8">
        <f t="shared" si="13"/>
        <v>22</v>
      </c>
    </row>
    <row r="109" spans="3:13" x14ac:dyDescent="0.25">
      <c r="C109">
        <v>100</v>
      </c>
      <c r="D109">
        <v>3</v>
      </c>
      <c r="E109">
        <v>1</v>
      </c>
      <c r="F109" s="8">
        <f t="shared" si="10"/>
        <v>2.2269822485207103</v>
      </c>
      <c r="G109" s="8">
        <f t="shared" si="11"/>
        <v>3</v>
      </c>
      <c r="I109">
        <v>148</v>
      </c>
      <c r="J109">
        <v>21</v>
      </c>
      <c r="K109">
        <v>3</v>
      </c>
      <c r="L109" s="8" t="str">
        <f t="shared" si="12"/>
        <v/>
      </c>
      <c r="M109" s="8" t="str">
        <f t="shared" si="13"/>
        <v/>
      </c>
    </row>
    <row r="110" spans="3:13" x14ac:dyDescent="0.25">
      <c r="C110">
        <v>101</v>
      </c>
      <c r="D110">
        <v>1</v>
      </c>
      <c r="E110">
        <v>1</v>
      </c>
      <c r="F110" s="8">
        <f t="shared" si="10"/>
        <v>0.2577514792899408</v>
      </c>
      <c r="G110" s="8">
        <f t="shared" si="11"/>
        <v>1</v>
      </c>
      <c r="I110">
        <v>149</v>
      </c>
      <c r="J110">
        <v>77</v>
      </c>
      <c r="K110">
        <v>2</v>
      </c>
      <c r="L110" s="8">
        <f t="shared" si="12"/>
        <v>3302.1441326530612</v>
      </c>
      <c r="M110" s="8">
        <f t="shared" si="13"/>
        <v>77</v>
      </c>
    </row>
    <row r="111" spans="3:13" x14ac:dyDescent="0.25">
      <c r="C111">
        <v>102</v>
      </c>
      <c r="D111">
        <v>1</v>
      </c>
      <c r="E111">
        <v>1</v>
      </c>
      <c r="F111" s="8">
        <f t="shared" si="10"/>
        <v>0.2577514792899408</v>
      </c>
      <c r="G111" s="8">
        <f t="shared" si="11"/>
        <v>1</v>
      </c>
      <c r="I111">
        <v>150</v>
      </c>
      <c r="J111">
        <v>102</v>
      </c>
      <c r="K111">
        <v>3</v>
      </c>
      <c r="L111" s="8" t="str">
        <f t="shared" si="12"/>
        <v/>
      </c>
      <c r="M111" s="8" t="str">
        <f t="shared" si="13"/>
        <v/>
      </c>
    </row>
    <row r="112" spans="3:13" x14ac:dyDescent="0.25">
      <c r="C112">
        <v>103</v>
      </c>
      <c r="D112">
        <v>1</v>
      </c>
      <c r="E112">
        <v>1</v>
      </c>
      <c r="F112" s="8">
        <f t="shared" si="10"/>
        <v>0.2577514792899408</v>
      </c>
      <c r="G112" s="8">
        <f t="shared" si="11"/>
        <v>1</v>
      </c>
      <c r="I112">
        <v>151</v>
      </c>
      <c r="J112">
        <v>16</v>
      </c>
      <c r="K112">
        <v>2</v>
      </c>
      <c r="L112" s="8">
        <f t="shared" si="12"/>
        <v>12.501275510204074</v>
      </c>
      <c r="M112" s="8">
        <f t="shared" si="13"/>
        <v>16</v>
      </c>
    </row>
    <row r="113" spans="3:13" x14ac:dyDescent="0.25">
      <c r="C113">
        <v>104</v>
      </c>
      <c r="D113">
        <v>1</v>
      </c>
      <c r="E113">
        <v>2</v>
      </c>
      <c r="F113" s="8" t="str">
        <f t="shared" si="10"/>
        <v/>
      </c>
      <c r="G113" s="8" t="str">
        <f t="shared" si="11"/>
        <v/>
      </c>
      <c r="I113">
        <v>152</v>
      </c>
      <c r="J113">
        <v>17</v>
      </c>
      <c r="K113">
        <v>4</v>
      </c>
      <c r="L113" s="8" t="str">
        <f t="shared" si="12"/>
        <v/>
      </c>
      <c r="M113" s="8" t="str">
        <f t="shared" si="13"/>
        <v/>
      </c>
    </row>
    <row r="114" spans="3:13" x14ac:dyDescent="0.25">
      <c r="C114">
        <v>105</v>
      </c>
      <c r="D114">
        <v>1</v>
      </c>
      <c r="E114">
        <v>1</v>
      </c>
      <c r="F114" s="8">
        <f t="shared" si="10"/>
        <v>0.2577514792899408</v>
      </c>
      <c r="G114" s="8">
        <f t="shared" si="11"/>
        <v>1</v>
      </c>
      <c r="I114">
        <v>155</v>
      </c>
      <c r="J114">
        <v>20</v>
      </c>
      <c r="K114">
        <v>2</v>
      </c>
      <c r="L114" s="8">
        <f t="shared" si="12"/>
        <v>0.21556122448979687</v>
      </c>
      <c r="M114" s="8">
        <f t="shared" si="13"/>
        <v>20</v>
      </c>
    </row>
    <row r="115" spans="3:13" x14ac:dyDescent="0.25">
      <c r="C115">
        <v>106</v>
      </c>
      <c r="D115">
        <v>3</v>
      </c>
      <c r="E115">
        <v>1</v>
      </c>
      <c r="F115" s="8">
        <f t="shared" si="10"/>
        <v>2.2269822485207103</v>
      </c>
      <c r="G115" s="8">
        <f t="shared" si="11"/>
        <v>3</v>
      </c>
      <c r="I115">
        <v>156</v>
      </c>
      <c r="J115">
        <v>28</v>
      </c>
      <c r="K115">
        <v>2</v>
      </c>
      <c r="L115" s="8">
        <f t="shared" si="12"/>
        <v>71.644132653061249</v>
      </c>
      <c r="M115" s="8">
        <f t="shared" si="13"/>
        <v>28</v>
      </c>
    </row>
    <row r="116" spans="3:13" x14ac:dyDescent="0.25">
      <c r="C116">
        <v>107</v>
      </c>
      <c r="D116">
        <v>1</v>
      </c>
      <c r="E116">
        <v>1</v>
      </c>
      <c r="F116" s="8">
        <f t="shared" si="10"/>
        <v>0.2577514792899408</v>
      </c>
      <c r="G116" s="8">
        <f t="shared" si="11"/>
        <v>1</v>
      </c>
      <c r="I116">
        <v>157</v>
      </c>
      <c r="J116">
        <v>35</v>
      </c>
      <c r="K116">
        <v>4</v>
      </c>
      <c r="L116" s="8" t="str">
        <f t="shared" si="12"/>
        <v/>
      </c>
      <c r="M116" s="8" t="str">
        <f t="shared" si="13"/>
        <v/>
      </c>
    </row>
    <row r="117" spans="3:13" x14ac:dyDescent="0.25">
      <c r="C117">
        <v>108</v>
      </c>
      <c r="D117">
        <v>1</v>
      </c>
      <c r="E117">
        <v>1</v>
      </c>
      <c r="F117" s="8">
        <f t="shared" si="10"/>
        <v>0.2577514792899408</v>
      </c>
      <c r="G117" s="8">
        <f t="shared" si="11"/>
        <v>1</v>
      </c>
      <c r="I117">
        <v>159</v>
      </c>
      <c r="J117">
        <v>22</v>
      </c>
      <c r="K117">
        <v>3</v>
      </c>
      <c r="L117" s="8" t="str">
        <f t="shared" si="12"/>
        <v/>
      </c>
      <c r="M117" s="8" t="str">
        <f t="shared" si="13"/>
        <v/>
      </c>
    </row>
    <row r="118" spans="3:13" x14ac:dyDescent="0.25">
      <c r="C118">
        <v>109</v>
      </c>
      <c r="D118">
        <v>2</v>
      </c>
      <c r="E118">
        <v>1</v>
      </c>
      <c r="F118" s="8">
        <f t="shared" si="10"/>
        <v>0.24236686390532547</v>
      </c>
      <c r="G118" s="8">
        <f t="shared" si="11"/>
        <v>2</v>
      </c>
      <c r="I118">
        <v>160</v>
      </c>
      <c r="J118">
        <v>21</v>
      </c>
      <c r="K118">
        <v>2</v>
      </c>
      <c r="L118" s="8">
        <f t="shared" si="12"/>
        <v>2.1441326530612272</v>
      </c>
      <c r="M118" s="8">
        <f t="shared" si="13"/>
        <v>21</v>
      </c>
    </row>
    <row r="119" spans="3:13" x14ac:dyDescent="0.25">
      <c r="C119">
        <v>110</v>
      </c>
      <c r="D119">
        <v>1</v>
      </c>
      <c r="E119">
        <v>1</v>
      </c>
      <c r="F119" s="8">
        <f t="shared" si="10"/>
        <v>0.2577514792899408</v>
      </c>
      <c r="G119" s="8">
        <f t="shared" si="11"/>
        <v>1</v>
      </c>
      <c r="I119">
        <v>161</v>
      </c>
      <c r="J119">
        <v>20</v>
      </c>
      <c r="K119">
        <v>2</v>
      </c>
      <c r="L119" s="8">
        <f t="shared" si="12"/>
        <v>0.21556122448979687</v>
      </c>
      <c r="M119" s="8">
        <f t="shared" si="13"/>
        <v>20</v>
      </c>
    </row>
    <row r="120" spans="3:13" x14ac:dyDescent="0.25">
      <c r="C120">
        <v>111</v>
      </c>
      <c r="D120">
        <v>1</v>
      </c>
      <c r="E120">
        <v>2</v>
      </c>
      <c r="F120" s="8" t="str">
        <f t="shared" si="10"/>
        <v/>
      </c>
      <c r="G120" s="8" t="str">
        <f t="shared" si="11"/>
        <v/>
      </c>
      <c r="I120">
        <v>162</v>
      </c>
      <c r="J120">
        <v>55</v>
      </c>
      <c r="K120">
        <v>3</v>
      </c>
      <c r="L120" s="8" t="str">
        <f t="shared" si="12"/>
        <v/>
      </c>
      <c r="M120" s="8" t="str">
        <f t="shared" si="13"/>
        <v/>
      </c>
    </row>
    <row r="121" spans="3:13" x14ac:dyDescent="0.25">
      <c r="C121">
        <v>112</v>
      </c>
      <c r="D121">
        <v>1</v>
      </c>
      <c r="E121">
        <v>1</v>
      </c>
      <c r="F121" s="8">
        <f t="shared" si="10"/>
        <v>0.2577514792899408</v>
      </c>
      <c r="G121" s="8">
        <f t="shared" si="11"/>
        <v>1</v>
      </c>
      <c r="I121">
        <v>163</v>
      </c>
      <c r="J121">
        <v>1</v>
      </c>
      <c r="K121">
        <v>2</v>
      </c>
      <c r="L121" s="8">
        <f t="shared" si="12"/>
        <v>343.57270408163259</v>
      </c>
      <c r="M121" s="8">
        <f t="shared" si="13"/>
        <v>1</v>
      </c>
    </row>
    <row r="122" spans="3:13" x14ac:dyDescent="0.25">
      <c r="C122">
        <v>113</v>
      </c>
      <c r="D122">
        <v>2</v>
      </c>
      <c r="E122">
        <v>1</v>
      </c>
      <c r="F122" s="8">
        <f t="shared" si="10"/>
        <v>0.24236686390532547</v>
      </c>
      <c r="G122" s="8">
        <f t="shared" si="11"/>
        <v>2</v>
      </c>
      <c r="I122">
        <v>164</v>
      </c>
      <c r="J122">
        <v>78</v>
      </c>
      <c r="K122">
        <v>3</v>
      </c>
      <c r="L122" s="8" t="str">
        <f t="shared" si="12"/>
        <v/>
      </c>
      <c r="M122" s="8" t="str">
        <f t="shared" si="13"/>
        <v/>
      </c>
    </row>
    <row r="123" spans="3:13" x14ac:dyDescent="0.25">
      <c r="C123">
        <v>114</v>
      </c>
      <c r="D123">
        <v>1</v>
      </c>
      <c r="E123">
        <v>1</v>
      </c>
      <c r="F123" s="8">
        <f t="shared" si="10"/>
        <v>0.2577514792899408</v>
      </c>
      <c r="G123" s="8">
        <f t="shared" si="11"/>
        <v>1</v>
      </c>
      <c r="I123">
        <v>165</v>
      </c>
      <c r="J123">
        <v>8</v>
      </c>
      <c r="K123">
        <v>2</v>
      </c>
      <c r="L123" s="8">
        <f t="shared" si="12"/>
        <v>133.07270408163262</v>
      </c>
      <c r="M123" s="8">
        <f t="shared" si="13"/>
        <v>8</v>
      </c>
    </row>
    <row r="124" spans="3:13" x14ac:dyDescent="0.25">
      <c r="C124">
        <v>115</v>
      </c>
      <c r="D124">
        <v>1</v>
      </c>
      <c r="E124">
        <v>1</v>
      </c>
      <c r="F124" s="8">
        <f t="shared" si="10"/>
        <v>0.2577514792899408</v>
      </c>
      <c r="G124" s="8">
        <f t="shared" si="11"/>
        <v>1</v>
      </c>
      <c r="I124">
        <v>166</v>
      </c>
      <c r="J124">
        <v>1</v>
      </c>
      <c r="K124">
        <v>2</v>
      </c>
      <c r="L124" s="8">
        <f t="shared" si="12"/>
        <v>343.57270408163259</v>
      </c>
      <c r="M124" s="8">
        <f t="shared" si="13"/>
        <v>1</v>
      </c>
    </row>
    <row r="125" spans="3:13" x14ac:dyDescent="0.25">
      <c r="C125">
        <v>116</v>
      </c>
      <c r="D125">
        <v>2</v>
      </c>
      <c r="E125">
        <v>1</v>
      </c>
      <c r="F125" s="8">
        <f t="shared" si="10"/>
        <v>0.24236686390532547</v>
      </c>
      <c r="G125" s="8">
        <f t="shared" si="11"/>
        <v>2</v>
      </c>
      <c r="I125">
        <v>167</v>
      </c>
      <c r="J125">
        <v>21</v>
      </c>
      <c r="K125">
        <v>3</v>
      </c>
      <c r="L125" s="8" t="str">
        <f t="shared" si="12"/>
        <v/>
      </c>
      <c r="M125" s="8" t="str">
        <f t="shared" si="13"/>
        <v/>
      </c>
    </row>
    <row r="126" spans="3:13" x14ac:dyDescent="0.25">
      <c r="C126">
        <v>117</v>
      </c>
      <c r="D126">
        <v>1</v>
      </c>
      <c r="E126">
        <v>1</v>
      </c>
      <c r="F126" s="8">
        <f t="shared" si="10"/>
        <v>0.2577514792899408</v>
      </c>
      <c r="G126" s="8">
        <f t="shared" si="11"/>
        <v>1</v>
      </c>
      <c r="I126">
        <v>169</v>
      </c>
      <c r="J126">
        <v>13</v>
      </c>
      <c r="K126">
        <v>2</v>
      </c>
      <c r="L126" s="8">
        <f t="shared" si="12"/>
        <v>42.715561224489782</v>
      </c>
      <c r="M126" s="8">
        <f t="shared" si="13"/>
        <v>13</v>
      </c>
    </row>
    <row r="127" spans="3:13" x14ac:dyDescent="0.25">
      <c r="C127">
        <v>118</v>
      </c>
      <c r="D127">
        <v>1</v>
      </c>
      <c r="E127">
        <v>1</v>
      </c>
      <c r="F127" s="8">
        <f t="shared" si="10"/>
        <v>0.2577514792899408</v>
      </c>
      <c r="G127" s="8">
        <f t="shared" si="11"/>
        <v>1</v>
      </c>
      <c r="I127">
        <v>170</v>
      </c>
      <c r="J127">
        <v>82</v>
      </c>
      <c r="K127">
        <v>2</v>
      </c>
      <c r="L127" s="8">
        <f t="shared" si="12"/>
        <v>3901.7869897959185</v>
      </c>
      <c r="M127" s="8">
        <f t="shared" si="13"/>
        <v>82</v>
      </c>
    </row>
    <row r="128" spans="3:13" x14ac:dyDescent="0.25">
      <c r="C128">
        <v>119</v>
      </c>
      <c r="D128">
        <v>1</v>
      </c>
      <c r="E128">
        <v>2</v>
      </c>
      <c r="F128" s="8" t="str">
        <f t="shared" si="10"/>
        <v/>
      </c>
      <c r="G128" s="8" t="str">
        <f t="shared" si="11"/>
        <v/>
      </c>
      <c r="I128">
        <v>171</v>
      </c>
      <c r="J128">
        <v>37</v>
      </c>
      <c r="K128">
        <v>2</v>
      </c>
      <c r="L128" s="8">
        <f t="shared" si="12"/>
        <v>305.0012755102041</v>
      </c>
      <c r="M128" s="8">
        <f t="shared" si="13"/>
        <v>37</v>
      </c>
    </row>
    <row r="129" spans="3:13" x14ac:dyDescent="0.25">
      <c r="C129">
        <v>120</v>
      </c>
      <c r="D129">
        <v>1</v>
      </c>
      <c r="E129">
        <v>1</v>
      </c>
      <c r="F129" s="8">
        <f t="shared" si="10"/>
        <v>0.2577514792899408</v>
      </c>
      <c r="G129" s="8">
        <f t="shared" si="11"/>
        <v>1</v>
      </c>
      <c r="I129">
        <v>172</v>
      </c>
      <c r="J129">
        <v>34</v>
      </c>
      <c r="K129">
        <v>2</v>
      </c>
      <c r="L129" s="8">
        <f t="shared" si="12"/>
        <v>209.21556122448982</v>
      </c>
      <c r="M129" s="8">
        <f t="shared" si="13"/>
        <v>34</v>
      </c>
    </row>
    <row r="130" spans="3:13" x14ac:dyDescent="0.25">
      <c r="C130">
        <v>121</v>
      </c>
      <c r="D130">
        <v>1</v>
      </c>
      <c r="E130">
        <v>1</v>
      </c>
      <c r="F130" s="8">
        <f t="shared" si="10"/>
        <v>0.2577514792899408</v>
      </c>
      <c r="G130" s="8">
        <f t="shared" si="11"/>
        <v>1</v>
      </c>
      <c r="I130">
        <v>173</v>
      </c>
      <c r="J130">
        <v>21</v>
      </c>
      <c r="K130">
        <v>2</v>
      </c>
      <c r="L130" s="8">
        <f t="shared" si="12"/>
        <v>2.1441326530612272</v>
      </c>
      <c r="M130" s="8">
        <f t="shared" si="13"/>
        <v>21</v>
      </c>
    </row>
    <row r="131" spans="3:13" x14ac:dyDescent="0.25">
      <c r="C131">
        <v>122</v>
      </c>
      <c r="D131">
        <v>3</v>
      </c>
      <c r="E131">
        <v>1</v>
      </c>
      <c r="F131" s="8">
        <f t="shared" si="10"/>
        <v>2.2269822485207103</v>
      </c>
      <c r="G131" s="8">
        <f t="shared" si="11"/>
        <v>3</v>
      </c>
      <c r="I131">
        <v>174</v>
      </c>
      <c r="J131">
        <v>28</v>
      </c>
      <c r="K131">
        <v>2</v>
      </c>
      <c r="L131" s="8">
        <f t="shared" si="12"/>
        <v>71.644132653061249</v>
      </c>
      <c r="M131" s="8">
        <f t="shared" si="13"/>
        <v>28</v>
      </c>
    </row>
    <row r="132" spans="3:13" x14ac:dyDescent="0.25">
      <c r="C132">
        <v>123</v>
      </c>
      <c r="D132">
        <v>1</v>
      </c>
      <c r="E132">
        <v>1</v>
      </c>
      <c r="F132" s="8">
        <f t="shared" si="10"/>
        <v>0.2577514792899408</v>
      </c>
      <c r="G132" s="8">
        <f t="shared" si="11"/>
        <v>1</v>
      </c>
      <c r="I132">
        <v>175</v>
      </c>
      <c r="J132">
        <v>20</v>
      </c>
      <c r="K132">
        <v>3</v>
      </c>
      <c r="L132" s="8" t="str">
        <f t="shared" si="12"/>
        <v/>
      </c>
      <c r="M132" s="8" t="str">
        <f t="shared" si="13"/>
        <v/>
      </c>
    </row>
    <row r="133" spans="3:13" x14ac:dyDescent="0.25">
      <c r="C133">
        <v>124</v>
      </c>
      <c r="D133">
        <v>1</v>
      </c>
      <c r="E133">
        <v>1</v>
      </c>
      <c r="F133" s="8">
        <f t="shared" si="10"/>
        <v>0.2577514792899408</v>
      </c>
      <c r="G133" s="8">
        <f t="shared" si="11"/>
        <v>1</v>
      </c>
      <c r="I133">
        <v>176</v>
      </c>
      <c r="J133">
        <v>41</v>
      </c>
      <c r="K133">
        <v>2</v>
      </c>
      <c r="L133" s="8">
        <f t="shared" si="12"/>
        <v>460.71556122448982</v>
      </c>
      <c r="M133" s="8">
        <f t="shared" si="13"/>
        <v>41</v>
      </c>
    </row>
    <row r="134" spans="3:13" x14ac:dyDescent="0.25">
      <c r="C134">
        <v>125</v>
      </c>
      <c r="D134">
        <v>3</v>
      </c>
      <c r="E134">
        <v>1</v>
      </c>
      <c r="F134" s="8">
        <f t="shared" si="10"/>
        <v>2.2269822485207103</v>
      </c>
      <c r="G134" s="8">
        <f t="shared" si="11"/>
        <v>3</v>
      </c>
      <c r="I134">
        <v>177</v>
      </c>
      <c r="J134">
        <v>30</v>
      </c>
      <c r="K134">
        <v>2</v>
      </c>
      <c r="L134" s="8">
        <f t="shared" si="12"/>
        <v>109.50127551020411</v>
      </c>
      <c r="M134" s="8">
        <f t="shared" si="13"/>
        <v>30</v>
      </c>
    </row>
    <row r="135" spans="3:13" x14ac:dyDescent="0.25">
      <c r="C135">
        <v>126</v>
      </c>
      <c r="D135">
        <v>2</v>
      </c>
      <c r="E135">
        <v>1</v>
      </c>
      <c r="F135" s="8">
        <f t="shared" si="10"/>
        <v>0.24236686390532547</v>
      </c>
      <c r="G135" s="8">
        <f t="shared" si="11"/>
        <v>2</v>
      </c>
      <c r="I135">
        <v>178</v>
      </c>
      <c r="J135">
        <v>69</v>
      </c>
      <c r="K135">
        <v>2</v>
      </c>
      <c r="L135" s="8">
        <f t="shared" si="12"/>
        <v>2446.7155612244901</v>
      </c>
      <c r="M135" s="8">
        <f t="shared" si="13"/>
        <v>69</v>
      </c>
    </row>
    <row r="136" spans="3:13" x14ac:dyDescent="0.25">
      <c r="C136">
        <v>127</v>
      </c>
      <c r="D136">
        <v>1</v>
      </c>
      <c r="E136">
        <v>1</v>
      </c>
      <c r="F136" s="8">
        <f t="shared" si="10"/>
        <v>0.2577514792899408</v>
      </c>
      <c r="G136" s="8">
        <f t="shared" si="11"/>
        <v>1</v>
      </c>
      <c r="I136">
        <v>179</v>
      </c>
      <c r="J136">
        <v>32</v>
      </c>
      <c r="K136">
        <v>3</v>
      </c>
      <c r="L136" s="8" t="str">
        <f t="shared" si="12"/>
        <v/>
      </c>
      <c r="M136" s="8" t="str">
        <f t="shared" si="13"/>
        <v/>
      </c>
    </row>
    <row r="137" spans="3:13" x14ac:dyDescent="0.25">
      <c r="C137">
        <v>128</v>
      </c>
      <c r="D137">
        <v>1</v>
      </c>
      <c r="E137">
        <v>2</v>
      </c>
      <c r="F137" s="8" t="str">
        <f t="shared" si="10"/>
        <v/>
      </c>
      <c r="G137" s="8" t="str">
        <f t="shared" si="11"/>
        <v/>
      </c>
      <c r="I137">
        <v>180</v>
      </c>
      <c r="J137">
        <v>27</v>
      </c>
      <c r="K137">
        <v>3</v>
      </c>
      <c r="L137" s="8" t="str">
        <f t="shared" si="12"/>
        <v/>
      </c>
      <c r="M137" s="8" t="str">
        <f t="shared" si="13"/>
        <v/>
      </c>
    </row>
    <row r="138" spans="3:13" x14ac:dyDescent="0.25">
      <c r="C138">
        <v>129</v>
      </c>
      <c r="D138">
        <v>1</v>
      </c>
      <c r="E138">
        <v>1</v>
      </c>
      <c r="F138" s="8">
        <f t="shared" ref="F138:F201" si="16">IF(E138=1,(D138-$D$2)*(D138-$D$2),"")</f>
        <v>0.2577514792899408</v>
      </c>
      <c r="G138" s="8">
        <f t="shared" ref="G138:G201" si="17">IF(E138=1,D138,"")</f>
        <v>1</v>
      </c>
      <c r="I138">
        <v>181</v>
      </c>
      <c r="J138">
        <v>105</v>
      </c>
      <c r="K138">
        <v>5</v>
      </c>
      <c r="L138" s="8" t="str">
        <f t="shared" ref="L138:L201" si="18">IF(K138=2,(J138-$J$2)*(J138-$J$2),"")</f>
        <v/>
      </c>
      <c r="M138" s="8" t="str">
        <f t="shared" ref="M138:M201" si="19">IF(K138=2,J138,"")</f>
        <v/>
      </c>
    </row>
    <row r="139" spans="3:13" x14ac:dyDescent="0.25">
      <c r="C139">
        <v>130</v>
      </c>
      <c r="D139">
        <v>3</v>
      </c>
      <c r="E139">
        <v>1</v>
      </c>
      <c r="F139" s="8">
        <f t="shared" si="16"/>
        <v>2.2269822485207103</v>
      </c>
      <c r="G139" s="8">
        <f t="shared" si="17"/>
        <v>3</v>
      </c>
      <c r="I139">
        <v>182</v>
      </c>
      <c r="J139">
        <v>32</v>
      </c>
      <c r="K139">
        <v>2</v>
      </c>
      <c r="L139" s="8">
        <f t="shared" si="18"/>
        <v>155.35841836734696</v>
      </c>
      <c r="M139" s="8">
        <f t="shared" si="19"/>
        <v>32</v>
      </c>
    </row>
    <row r="140" spans="3:13" x14ac:dyDescent="0.25">
      <c r="C140">
        <v>131</v>
      </c>
      <c r="D140">
        <v>6</v>
      </c>
      <c r="E140">
        <v>1</v>
      </c>
      <c r="F140" s="8">
        <f t="shared" si="16"/>
        <v>20.180828402366863</v>
      </c>
      <c r="G140" s="8">
        <f t="shared" si="17"/>
        <v>6</v>
      </c>
      <c r="I140">
        <v>186</v>
      </c>
      <c r="J140">
        <v>15</v>
      </c>
      <c r="K140">
        <v>2</v>
      </c>
      <c r="L140" s="8">
        <f t="shared" si="18"/>
        <v>20.572704081632644</v>
      </c>
      <c r="M140" s="8">
        <f t="shared" si="19"/>
        <v>15</v>
      </c>
    </row>
    <row r="141" spans="3:13" x14ac:dyDescent="0.25">
      <c r="C141">
        <v>132</v>
      </c>
      <c r="D141">
        <v>1</v>
      </c>
      <c r="E141">
        <v>2</v>
      </c>
      <c r="F141" s="8" t="str">
        <f t="shared" si="16"/>
        <v/>
      </c>
      <c r="G141" s="8" t="str">
        <f t="shared" si="17"/>
        <v/>
      </c>
      <c r="I141">
        <v>187</v>
      </c>
      <c r="J141">
        <v>1</v>
      </c>
      <c r="K141">
        <v>2</v>
      </c>
      <c r="L141" s="8">
        <f t="shared" si="18"/>
        <v>343.57270408163259</v>
      </c>
      <c r="M141" s="8">
        <f t="shared" si="19"/>
        <v>1</v>
      </c>
    </row>
    <row r="142" spans="3:13" x14ac:dyDescent="0.25">
      <c r="C142">
        <v>133</v>
      </c>
      <c r="D142">
        <v>1</v>
      </c>
      <c r="E142">
        <v>1</v>
      </c>
      <c r="F142" s="8">
        <f t="shared" si="16"/>
        <v>0.2577514792899408</v>
      </c>
      <c r="G142" s="8">
        <f t="shared" si="17"/>
        <v>1</v>
      </c>
      <c r="I142">
        <v>188</v>
      </c>
      <c r="J142">
        <v>1</v>
      </c>
      <c r="K142">
        <v>2</v>
      </c>
      <c r="L142" s="8">
        <f t="shared" si="18"/>
        <v>343.57270408163259</v>
      </c>
      <c r="M142" s="8">
        <f t="shared" si="19"/>
        <v>1</v>
      </c>
    </row>
    <row r="143" spans="3:13" x14ac:dyDescent="0.25">
      <c r="C143">
        <v>134</v>
      </c>
      <c r="D143">
        <v>1</v>
      </c>
      <c r="E143">
        <v>1</v>
      </c>
      <c r="F143" s="8">
        <f t="shared" si="16"/>
        <v>0.2577514792899408</v>
      </c>
      <c r="G143" s="8">
        <f t="shared" si="17"/>
        <v>1</v>
      </c>
      <c r="I143">
        <v>189</v>
      </c>
      <c r="J143">
        <v>99</v>
      </c>
      <c r="K143">
        <v>3</v>
      </c>
      <c r="L143" s="8" t="str">
        <f t="shared" si="18"/>
        <v/>
      </c>
      <c r="M143" s="8" t="str">
        <f t="shared" si="19"/>
        <v/>
      </c>
    </row>
    <row r="144" spans="3:13" x14ac:dyDescent="0.25">
      <c r="C144">
        <v>135</v>
      </c>
      <c r="D144">
        <v>2</v>
      </c>
      <c r="E144">
        <v>1</v>
      </c>
      <c r="F144" s="8">
        <f t="shared" si="16"/>
        <v>0.24236686390532547</v>
      </c>
      <c r="G144" s="8">
        <f t="shared" si="17"/>
        <v>2</v>
      </c>
      <c r="I144">
        <v>194</v>
      </c>
      <c r="J144">
        <v>35</v>
      </c>
      <c r="K144">
        <v>2</v>
      </c>
      <c r="L144" s="8">
        <f t="shared" si="18"/>
        <v>239.14413265306126</v>
      </c>
      <c r="M144" s="8">
        <f t="shared" si="19"/>
        <v>35</v>
      </c>
    </row>
    <row r="145" spans="3:13" x14ac:dyDescent="0.25">
      <c r="C145">
        <v>136</v>
      </c>
      <c r="D145">
        <v>1</v>
      </c>
      <c r="E145">
        <v>1</v>
      </c>
      <c r="F145" s="8">
        <f t="shared" si="16"/>
        <v>0.2577514792899408</v>
      </c>
      <c r="G145" s="8">
        <f t="shared" si="17"/>
        <v>1</v>
      </c>
      <c r="I145">
        <v>195</v>
      </c>
      <c r="J145">
        <v>1</v>
      </c>
      <c r="K145">
        <v>2</v>
      </c>
      <c r="L145" s="8">
        <f t="shared" si="18"/>
        <v>343.57270408163259</v>
      </c>
      <c r="M145" s="8">
        <f t="shared" si="19"/>
        <v>1</v>
      </c>
    </row>
    <row r="146" spans="3:13" x14ac:dyDescent="0.25">
      <c r="C146">
        <v>137</v>
      </c>
      <c r="D146">
        <v>1</v>
      </c>
      <c r="E146">
        <v>1</v>
      </c>
      <c r="F146" s="8">
        <f t="shared" si="16"/>
        <v>0.2577514792899408</v>
      </c>
      <c r="G146" s="8">
        <f t="shared" si="17"/>
        <v>1</v>
      </c>
      <c r="I146">
        <v>197</v>
      </c>
      <c r="J146">
        <v>1</v>
      </c>
      <c r="K146">
        <v>2</v>
      </c>
      <c r="L146" s="8">
        <f t="shared" si="18"/>
        <v>343.57270408163259</v>
      </c>
      <c r="M146" s="8">
        <f t="shared" si="19"/>
        <v>1</v>
      </c>
    </row>
    <row r="147" spans="3:13" x14ac:dyDescent="0.25">
      <c r="C147">
        <v>138</v>
      </c>
      <c r="D147">
        <v>1</v>
      </c>
      <c r="E147">
        <v>1</v>
      </c>
      <c r="F147" s="8">
        <f t="shared" si="16"/>
        <v>0.2577514792899408</v>
      </c>
      <c r="G147" s="8">
        <f t="shared" si="17"/>
        <v>1</v>
      </c>
      <c r="I147">
        <v>198</v>
      </c>
      <c r="J147">
        <v>54</v>
      </c>
      <c r="K147">
        <v>2</v>
      </c>
      <c r="L147" s="8">
        <f t="shared" si="18"/>
        <v>1187.7869897959185</v>
      </c>
      <c r="M147" s="8">
        <f t="shared" si="19"/>
        <v>54</v>
      </c>
    </row>
    <row r="148" spans="3:13" x14ac:dyDescent="0.25">
      <c r="C148">
        <v>139</v>
      </c>
      <c r="D148">
        <v>1</v>
      </c>
      <c r="E148">
        <v>1</v>
      </c>
      <c r="F148" s="8">
        <f t="shared" si="16"/>
        <v>0.2577514792899408</v>
      </c>
      <c r="G148" s="8">
        <f t="shared" si="17"/>
        <v>1</v>
      </c>
      <c r="I148">
        <v>199</v>
      </c>
      <c r="J148">
        <v>37</v>
      </c>
      <c r="K148">
        <v>2</v>
      </c>
      <c r="L148" s="8">
        <f t="shared" si="18"/>
        <v>305.0012755102041</v>
      </c>
      <c r="M148" s="8">
        <f t="shared" si="19"/>
        <v>37</v>
      </c>
    </row>
    <row r="149" spans="3:13" x14ac:dyDescent="0.25">
      <c r="C149">
        <v>140</v>
      </c>
      <c r="D149">
        <v>1</v>
      </c>
      <c r="E149">
        <v>1</v>
      </c>
      <c r="F149" s="8">
        <f t="shared" si="16"/>
        <v>0.2577514792899408</v>
      </c>
      <c r="G149" s="8">
        <f t="shared" si="17"/>
        <v>1</v>
      </c>
      <c r="I149">
        <v>200</v>
      </c>
      <c r="J149">
        <v>1</v>
      </c>
      <c r="K149">
        <v>2</v>
      </c>
      <c r="L149" s="8">
        <f t="shared" si="18"/>
        <v>343.57270408163259</v>
      </c>
      <c r="M149" s="8">
        <f t="shared" si="19"/>
        <v>1</v>
      </c>
    </row>
    <row r="150" spans="3:13" x14ac:dyDescent="0.25">
      <c r="C150">
        <v>141</v>
      </c>
      <c r="D150">
        <v>1</v>
      </c>
      <c r="E150">
        <v>1</v>
      </c>
      <c r="F150" s="8">
        <f t="shared" si="16"/>
        <v>0.2577514792899408</v>
      </c>
      <c r="G150" s="8">
        <f t="shared" si="17"/>
        <v>1</v>
      </c>
      <c r="I150">
        <v>201</v>
      </c>
      <c r="J150">
        <v>3</v>
      </c>
      <c r="K150">
        <v>2</v>
      </c>
      <c r="L150" s="8">
        <f t="shared" si="18"/>
        <v>273.42984693877548</v>
      </c>
      <c r="M150" s="8">
        <f t="shared" si="19"/>
        <v>3</v>
      </c>
    </row>
    <row r="151" spans="3:13" x14ac:dyDescent="0.25">
      <c r="C151">
        <v>142</v>
      </c>
      <c r="D151">
        <v>1</v>
      </c>
      <c r="E151">
        <v>1</v>
      </c>
      <c r="F151" s="8">
        <f t="shared" si="16"/>
        <v>0.2577514792899408</v>
      </c>
      <c r="G151" s="8">
        <f t="shared" si="17"/>
        <v>1</v>
      </c>
      <c r="I151">
        <v>202</v>
      </c>
      <c r="J151">
        <v>27</v>
      </c>
      <c r="K151">
        <v>3</v>
      </c>
      <c r="L151" s="8" t="str">
        <f t="shared" si="18"/>
        <v/>
      </c>
      <c r="M151" s="8" t="str">
        <f t="shared" si="19"/>
        <v/>
      </c>
    </row>
    <row r="152" spans="3:13" x14ac:dyDescent="0.25">
      <c r="C152">
        <v>143</v>
      </c>
      <c r="D152">
        <v>1</v>
      </c>
      <c r="E152">
        <v>3</v>
      </c>
      <c r="F152" s="8" t="str">
        <f t="shared" si="16"/>
        <v/>
      </c>
      <c r="G152" s="8" t="str">
        <f t="shared" si="17"/>
        <v/>
      </c>
      <c r="I152">
        <v>204</v>
      </c>
      <c r="J152">
        <v>44</v>
      </c>
      <c r="K152">
        <v>2</v>
      </c>
      <c r="L152" s="8">
        <f t="shared" si="18"/>
        <v>598.5012755102041</v>
      </c>
      <c r="M152" s="8">
        <f t="shared" si="19"/>
        <v>44</v>
      </c>
    </row>
    <row r="153" spans="3:13" x14ac:dyDescent="0.25">
      <c r="C153">
        <v>144</v>
      </c>
      <c r="D153">
        <v>1</v>
      </c>
      <c r="E153">
        <v>1</v>
      </c>
      <c r="F153" s="8">
        <f t="shared" si="16"/>
        <v>0.2577514792899408</v>
      </c>
      <c r="G153" s="8">
        <f t="shared" si="17"/>
        <v>1</v>
      </c>
      <c r="I153">
        <v>206</v>
      </c>
      <c r="J153">
        <v>7</v>
      </c>
      <c r="K153">
        <v>3</v>
      </c>
      <c r="L153" s="8" t="str">
        <f t="shared" si="18"/>
        <v/>
      </c>
      <c r="M153" s="8" t="str">
        <f t="shared" si="19"/>
        <v/>
      </c>
    </row>
    <row r="154" spans="3:13" x14ac:dyDescent="0.25">
      <c r="C154">
        <v>145</v>
      </c>
      <c r="D154">
        <v>2</v>
      </c>
      <c r="E154">
        <v>1</v>
      </c>
      <c r="F154" s="8">
        <f t="shared" si="16"/>
        <v>0.24236686390532547</v>
      </c>
      <c r="G154" s="8">
        <f t="shared" si="17"/>
        <v>2</v>
      </c>
      <c r="I154">
        <v>207</v>
      </c>
      <c r="J154">
        <v>16</v>
      </c>
      <c r="K154">
        <v>2</v>
      </c>
      <c r="L154" s="8">
        <f t="shared" si="18"/>
        <v>12.501275510204074</v>
      </c>
      <c r="M154" s="8">
        <f t="shared" si="19"/>
        <v>16</v>
      </c>
    </row>
    <row r="155" spans="3:13" x14ac:dyDescent="0.25">
      <c r="C155">
        <v>146</v>
      </c>
      <c r="D155">
        <v>1</v>
      </c>
      <c r="E155">
        <v>1</v>
      </c>
      <c r="F155" s="8">
        <f t="shared" si="16"/>
        <v>0.2577514792899408</v>
      </c>
      <c r="G155" s="8">
        <f t="shared" si="17"/>
        <v>1</v>
      </c>
      <c r="I155">
        <v>208</v>
      </c>
      <c r="J155">
        <v>1</v>
      </c>
      <c r="K155">
        <v>2</v>
      </c>
      <c r="L155" s="8">
        <f t="shared" si="18"/>
        <v>343.57270408163259</v>
      </c>
      <c r="M155" s="8">
        <f t="shared" si="19"/>
        <v>1</v>
      </c>
    </row>
    <row r="156" spans="3:13" x14ac:dyDescent="0.25">
      <c r="C156">
        <v>147</v>
      </c>
      <c r="D156">
        <v>1</v>
      </c>
      <c r="E156">
        <v>1</v>
      </c>
      <c r="F156" s="8">
        <f t="shared" si="16"/>
        <v>0.2577514792899408</v>
      </c>
      <c r="G156" s="8">
        <f t="shared" si="17"/>
        <v>1</v>
      </c>
      <c r="I156">
        <v>209</v>
      </c>
      <c r="J156">
        <v>3</v>
      </c>
      <c r="K156">
        <v>2</v>
      </c>
      <c r="L156" s="8">
        <f t="shared" si="18"/>
        <v>273.42984693877548</v>
      </c>
      <c r="M156" s="8">
        <f t="shared" si="19"/>
        <v>3</v>
      </c>
    </row>
    <row r="157" spans="3:13" x14ac:dyDescent="0.25">
      <c r="C157">
        <v>148</v>
      </c>
      <c r="D157">
        <v>3</v>
      </c>
      <c r="E157">
        <v>1</v>
      </c>
      <c r="F157" s="8">
        <f t="shared" si="16"/>
        <v>2.2269822485207103</v>
      </c>
      <c r="G157" s="8">
        <f t="shared" si="17"/>
        <v>3</v>
      </c>
      <c r="I157">
        <v>212</v>
      </c>
      <c r="J157">
        <v>25</v>
      </c>
      <c r="K157">
        <v>2</v>
      </c>
      <c r="L157" s="8">
        <f t="shared" si="18"/>
        <v>29.85841836734695</v>
      </c>
      <c r="M157" s="8">
        <f t="shared" si="19"/>
        <v>25</v>
      </c>
    </row>
    <row r="158" spans="3:13" x14ac:dyDescent="0.25">
      <c r="C158">
        <v>149</v>
      </c>
      <c r="D158">
        <v>3</v>
      </c>
      <c r="E158">
        <v>1</v>
      </c>
      <c r="F158" s="8">
        <f t="shared" si="16"/>
        <v>2.2269822485207103</v>
      </c>
      <c r="G158" s="8">
        <f t="shared" si="17"/>
        <v>3</v>
      </c>
      <c r="I158">
        <v>213</v>
      </c>
      <c r="J158">
        <v>10</v>
      </c>
      <c r="K158">
        <v>5</v>
      </c>
      <c r="L158" s="8" t="str">
        <f t="shared" si="18"/>
        <v/>
      </c>
      <c r="M158" s="8" t="str">
        <f t="shared" si="19"/>
        <v/>
      </c>
    </row>
    <row r="159" spans="3:13" x14ac:dyDescent="0.25">
      <c r="C159">
        <v>150</v>
      </c>
      <c r="D159">
        <v>1</v>
      </c>
      <c r="E159">
        <v>1</v>
      </c>
      <c r="F159" s="8">
        <f t="shared" si="16"/>
        <v>0.2577514792899408</v>
      </c>
      <c r="G159" s="8">
        <f t="shared" si="17"/>
        <v>1</v>
      </c>
      <c r="I159">
        <v>214</v>
      </c>
      <c r="J159">
        <v>52</v>
      </c>
      <c r="K159">
        <v>2</v>
      </c>
      <c r="L159" s="8">
        <f t="shared" si="18"/>
        <v>1053.9298469387757</v>
      </c>
      <c r="M159" s="8">
        <f t="shared" si="19"/>
        <v>52</v>
      </c>
    </row>
    <row r="160" spans="3:13" x14ac:dyDescent="0.25">
      <c r="C160">
        <v>151</v>
      </c>
      <c r="D160">
        <v>1</v>
      </c>
      <c r="E160">
        <v>1</v>
      </c>
      <c r="F160" s="8">
        <f t="shared" si="16"/>
        <v>0.2577514792899408</v>
      </c>
      <c r="G160" s="8">
        <f t="shared" si="17"/>
        <v>1</v>
      </c>
      <c r="I160">
        <v>215</v>
      </c>
      <c r="J160">
        <v>33</v>
      </c>
      <c r="K160">
        <v>2</v>
      </c>
      <c r="L160" s="8">
        <f t="shared" si="18"/>
        <v>181.2869897959184</v>
      </c>
      <c r="M160" s="8">
        <f t="shared" si="19"/>
        <v>33</v>
      </c>
    </row>
    <row r="161" spans="3:13" x14ac:dyDescent="0.25">
      <c r="C161">
        <v>152</v>
      </c>
      <c r="D161">
        <v>1</v>
      </c>
      <c r="E161">
        <v>1</v>
      </c>
      <c r="F161" s="8">
        <f t="shared" si="16"/>
        <v>0.2577514792899408</v>
      </c>
      <c r="G161" s="8">
        <f t="shared" si="17"/>
        <v>1</v>
      </c>
      <c r="I161">
        <v>217</v>
      </c>
      <c r="J161">
        <v>30</v>
      </c>
      <c r="K161">
        <v>2</v>
      </c>
      <c r="L161" s="8">
        <f t="shared" si="18"/>
        <v>109.50127551020411</v>
      </c>
      <c r="M161" s="8">
        <f t="shared" si="19"/>
        <v>30</v>
      </c>
    </row>
    <row r="162" spans="3:13" x14ac:dyDescent="0.25">
      <c r="C162">
        <v>153</v>
      </c>
      <c r="D162">
        <v>1</v>
      </c>
      <c r="E162">
        <v>1</v>
      </c>
      <c r="F162" s="8">
        <f t="shared" si="16"/>
        <v>0.2577514792899408</v>
      </c>
      <c r="G162" s="8">
        <f t="shared" si="17"/>
        <v>1</v>
      </c>
      <c r="I162">
        <v>221</v>
      </c>
      <c r="J162">
        <v>13</v>
      </c>
      <c r="K162">
        <v>4</v>
      </c>
      <c r="L162" s="8" t="str">
        <f t="shared" si="18"/>
        <v/>
      </c>
      <c r="M162" s="8" t="str">
        <f t="shared" si="19"/>
        <v/>
      </c>
    </row>
    <row r="163" spans="3:13" x14ac:dyDescent="0.25">
      <c r="C163">
        <v>154</v>
      </c>
      <c r="D163">
        <v>1</v>
      </c>
      <c r="E163">
        <v>1</v>
      </c>
      <c r="F163" s="8">
        <f t="shared" si="16"/>
        <v>0.2577514792899408</v>
      </c>
      <c r="G163" s="8">
        <f t="shared" si="17"/>
        <v>1</v>
      </c>
      <c r="I163">
        <v>222</v>
      </c>
      <c r="J163">
        <v>12</v>
      </c>
      <c r="K163">
        <v>4</v>
      </c>
      <c r="L163" s="8" t="str">
        <f t="shared" si="18"/>
        <v/>
      </c>
      <c r="M163" s="8" t="str">
        <f t="shared" si="19"/>
        <v/>
      </c>
    </row>
    <row r="164" spans="3:13" x14ac:dyDescent="0.25">
      <c r="C164">
        <v>155</v>
      </c>
      <c r="D164">
        <v>1</v>
      </c>
      <c r="E164">
        <v>1</v>
      </c>
      <c r="F164" s="8">
        <f t="shared" si="16"/>
        <v>0.2577514792899408</v>
      </c>
      <c r="G164" s="8">
        <f t="shared" si="17"/>
        <v>1</v>
      </c>
      <c r="I164">
        <v>223</v>
      </c>
      <c r="J164">
        <v>27</v>
      </c>
      <c r="K164">
        <v>2</v>
      </c>
      <c r="L164" s="8">
        <f t="shared" si="18"/>
        <v>55.715561224489811</v>
      </c>
      <c r="M164" s="8">
        <f t="shared" si="19"/>
        <v>27</v>
      </c>
    </row>
    <row r="165" spans="3:13" x14ac:dyDescent="0.25">
      <c r="C165">
        <v>156</v>
      </c>
      <c r="D165">
        <v>1</v>
      </c>
      <c r="E165">
        <v>1</v>
      </c>
      <c r="F165" s="8">
        <f t="shared" si="16"/>
        <v>0.2577514792899408</v>
      </c>
      <c r="G165" s="8">
        <f t="shared" si="17"/>
        <v>1</v>
      </c>
      <c r="I165">
        <v>224</v>
      </c>
      <c r="J165">
        <v>1</v>
      </c>
      <c r="K165">
        <v>2</v>
      </c>
      <c r="L165" s="8">
        <f t="shared" si="18"/>
        <v>343.57270408163259</v>
      </c>
      <c r="M165" s="8">
        <f t="shared" si="19"/>
        <v>1</v>
      </c>
    </row>
    <row r="166" spans="3:13" x14ac:dyDescent="0.25">
      <c r="C166">
        <v>157</v>
      </c>
      <c r="D166">
        <v>2</v>
      </c>
      <c r="E166">
        <v>1</v>
      </c>
      <c r="F166" s="8">
        <f t="shared" si="16"/>
        <v>0.24236686390532547</v>
      </c>
      <c r="G166" s="8">
        <f t="shared" si="17"/>
        <v>2</v>
      </c>
      <c r="I166">
        <v>226</v>
      </c>
      <c r="J166">
        <v>19</v>
      </c>
      <c r="K166">
        <v>2</v>
      </c>
      <c r="L166" s="8">
        <f t="shared" si="18"/>
        <v>0.28698979591836626</v>
      </c>
      <c r="M166" s="8">
        <f t="shared" si="19"/>
        <v>19</v>
      </c>
    </row>
    <row r="167" spans="3:13" x14ac:dyDescent="0.25">
      <c r="C167">
        <v>158</v>
      </c>
      <c r="D167">
        <v>1</v>
      </c>
      <c r="E167">
        <v>1</v>
      </c>
      <c r="F167" s="8">
        <f t="shared" si="16"/>
        <v>0.2577514792899408</v>
      </c>
      <c r="G167" s="8">
        <f t="shared" si="17"/>
        <v>1</v>
      </c>
      <c r="I167">
        <v>227</v>
      </c>
      <c r="J167">
        <v>15</v>
      </c>
      <c r="K167">
        <v>3</v>
      </c>
      <c r="L167" s="8" t="str">
        <f t="shared" si="18"/>
        <v/>
      </c>
      <c r="M167" s="8" t="str">
        <f t="shared" si="19"/>
        <v/>
      </c>
    </row>
    <row r="168" spans="3:13" x14ac:dyDescent="0.25">
      <c r="C168">
        <v>159</v>
      </c>
      <c r="D168">
        <v>3</v>
      </c>
      <c r="E168">
        <v>1</v>
      </c>
      <c r="F168" s="8">
        <f t="shared" si="16"/>
        <v>2.2269822485207103</v>
      </c>
      <c r="G168" s="8">
        <f t="shared" si="17"/>
        <v>3</v>
      </c>
      <c r="I168">
        <v>229</v>
      </c>
      <c r="J168">
        <v>1</v>
      </c>
      <c r="K168">
        <v>2</v>
      </c>
      <c r="L168" s="8">
        <f t="shared" si="18"/>
        <v>343.57270408163259</v>
      </c>
      <c r="M168" s="8">
        <f t="shared" si="19"/>
        <v>1</v>
      </c>
    </row>
    <row r="169" spans="3:13" x14ac:dyDescent="0.25">
      <c r="C169">
        <v>160</v>
      </c>
      <c r="D169">
        <v>1</v>
      </c>
      <c r="E169">
        <v>1</v>
      </c>
      <c r="F169" s="8">
        <f t="shared" si="16"/>
        <v>0.2577514792899408</v>
      </c>
      <c r="G169" s="8">
        <f t="shared" si="17"/>
        <v>1</v>
      </c>
      <c r="I169">
        <v>230</v>
      </c>
      <c r="J169">
        <v>9</v>
      </c>
      <c r="K169">
        <v>2</v>
      </c>
      <c r="L169" s="8">
        <f t="shared" si="18"/>
        <v>111.00127551020407</v>
      </c>
      <c r="M169" s="8">
        <f t="shared" si="19"/>
        <v>9</v>
      </c>
    </row>
    <row r="170" spans="3:13" x14ac:dyDescent="0.25">
      <c r="C170">
        <v>161</v>
      </c>
      <c r="D170">
        <v>1</v>
      </c>
      <c r="E170">
        <v>1</v>
      </c>
      <c r="F170" s="8">
        <f t="shared" si="16"/>
        <v>0.2577514792899408</v>
      </c>
      <c r="G170" s="8">
        <f t="shared" si="17"/>
        <v>1</v>
      </c>
      <c r="I170">
        <v>231</v>
      </c>
      <c r="J170">
        <v>30</v>
      </c>
      <c r="K170">
        <v>2</v>
      </c>
      <c r="L170" s="8">
        <f t="shared" si="18"/>
        <v>109.50127551020411</v>
      </c>
      <c r="M170" s="8">
        <f t="shared" si="19"/>
        <v>30</v>
      </c>
    </row>
    <row r="171" spans="3:13" x14ac:dyDescent="0.25">
      <c r="C171">
        <v>162</v>
      </c>
      <c r="D171">
        <v>1</v>
      </c>
      <c r="E171">
        <v>1</v>
      </c>
      <c r="F171" s="8">
        <f t="shared" si="16"/>
        <v>0.2577514792899408</v>
      </c>
      <c r="G171" s="8">
        <f t="shared" si="17"/>
        <v>1</v>
      </c>
      <c r="I171">
        <v>233</v>
      </c>
      <c r="J171">
        <v>11</v>
      </c>
      <c r="K171">
        <v>2</v>
      </c>
      <c r="L171" s="8">
        <f t="shared" si="18"/>
        <v>72.858418367346928</v>
      </c>
      <c r="M171" s="8">
        <f t="shared" si="19"/>
        <v>11</v>
      </c>
    </row>
    <row r="172" spans="3:13" x14ac:dyDescent="0.25">
      <c r="C172">
        <v>163</v>
      </c>
      <c r="D172">
        <v>1</v>
      </c>
      <c r="E172">
        <v>2</v>
      </c>
      <c r="F172" s="8" t="str">
        <f t="shared" si="16"/>
        <v/>
      </c>
      <c r="G172" s="8" t="str">
        <f t="shared" si="17"/>
        <v/>
      </c>
      <c r="I172">
        <v>234</v>
      </c>
      <c r="J172">
        <v>38</v>
      </c>
      <c r="K172">
        <v>2</v>
      </c>
      <c r="L172" s="8">
        <f t="shared" si="18"/>
        <v>340.92984693877554</v>
      </c>
      <c r="M172" s="8">
        <f t="shared" si="19"/>
        <v>38</v>
      </c>
    </row>
    <row r="173" spans="3:13" x14ac:dyDescent="0.25">
      <c r="C173">
        <v>164</v>
      </c>
      <c r="D173">
        <v>1</v>
      </c>
      <c r="E173">
        <v>1</v>
      </c>
      <c r="F173" s="8">
        <f t="shared" si="16"/>
        <v>0.2577514792899408</v>
      </c>
      <c r="G173" s="8">
        <f t="shared" si="17"/>
        <v>1</v>
      </c>
      <c r="I173">
        <v>235</v>
      </c>
      <c r="J173">
        <v>14</v>
      </c>
      <c r="K173">
        <v>3</v>
      </c>
      <c r="L173" s="8" t="str">
        <f t="shared" si="18"/>
        <v/>
      </c>
      <c r="M173" s="8" t="str">
        <f t="shared" si="19"/>
        <v/>
      </c>
    </row>
    <row r="174" spans="3:13" x14ac:dyDescent="0.25">
      <c r="C174">
        <v>165</v>
      </c>
      <c r="D174">
        <v>1</v>
      </c>
      <c r="E174">
        <v>1</v>
      </c>
      <c r="F174" s="8">
        <f t="shared" si="16"/>
        <v>0.2577514792899408</v>
      </c>
      <c r="G174" s="8">
        <f t="shared" si="17"/>
        <v>1</v>
      </c>
      <c r="I174">
        <v>236</v>
      </c>
      <c r="J174">
        <v>1</v>
      </c>
      <c r="K174">
        <v>2</v>
      </c>
      <c r="L174" s="8">
        <f t="shared" si="18"/>
        <v>343.57270408163259</v>
      </c>
      <c r="M174" s="8">
        <f t="shared" si="19"/>
        <v>1</v>
      </c>
    </row>
    <row r="175" spans="3:13" x14ac:dyDescent="0.25">
      <c r="C175">
        <v>166</v>
      </c>
      <c r="D175">
        <v>1</v>
      </c>
      <c r="E175">
        <v>2</v>
      </c>
      <c r="F175" s="8" t="str">
        <f t="shared" si="16"/>
        <v/>
      </c>
      <c r="G175" s="8" t="str">
        <f t="shared" si="17"/>
        <v/>
      </c>
      <c r="I175">
        <v>238</v>
      </c>
      <c r="J175">
        <v>26</v>
      </c>
      <c r="K175">
        <v>3</v>
      </c>
      <c r="L175" s="8" t="str">
        <f t="shared" si="18"/>
        <v/>
      </c>
      <c r="M175" s="8" t="str">
        <f t="shared" si="19"/>
        <v/>
      </c>
    </row>
    <row r="176" spans="3:13" x14ac:dyDescent="0.25">
      <c r="C176">
        <v>167</v>
      </c>
      <c r="D176">
        <v>1</v>
      </c>
      <c r="E176">
        <v>1</v>
      </c>
      <c r="F176" s="8">
        <f t="shared" si="16"/>
        <v>0.2577514792899408</v>
      </c>
      <c r="G176" s="8">
        <f t="shared" si="17"/>
        <v>1</v>
      </c>
      <c r="I176">
        <v>240</v>
      </c>
      <c r="J176">
        <v>27</v>
      </c>
      <c r="K176">
        <v>4</v>
      </c>
      <c r="L176" s="8" t="str">
        <f t="shared" si="18"/>
        <v/>
      </c>
      <c r="M176" s="8" t="str">
        <f t="shared" si="19"/>
        <v/>
      </c>
    </row>
    <row r="177" spans="3:13" x14ac:dyDescent="0.25">
      <c r="C177">
        <v>168</v>
      </c>
      <c r="D177">
        <v>1</v>
      </c>
      <c r="E177">
        <v>1</v>
      </c>
      <c r="F177" s="8">
        <f t="shared" si="16"/>
        <v>0.2577514792899408</v>
      </c>
      <c r="G177" s="8">
        <f t="shared" si="17"/>
        <v>1</v>
      </c>
      <c r="I177">
        <v>242</v>
      </c>
      <c r="J177">
        <v>53</v>
      </c>
      <c r="K177">
        <v>4</v>
      </c>
      <c r="L177" s="8" t="str">
        <f t="shared" si="18"/>
        <v/>
      </c>
      <c r="M177" s="8" t="str">
        <f t="shared" si="19"/>
        <v/>
      </c>
    </row>
    <row r="178" spans="3:13" x14ac:dyDescent="0.25">
      <c r="C178">
        <v>169</v>
      </c>
      <c r="D178">
        <v>1</v>
      </c>
      <c r="E178">
        <v>1</v>
      </c>
      <c r="F178" s="8">
        <f t="shared" si="16"/>
        <v>0.2577514792899408</v>
      </c>
      <c r="G178" s="8">
        <f t="shared" si="17"/>
        <v>1</v>
      </c>
      <c r="I178">
        <v>243</v>
      </c>
      <c r="J178">
        <v>11</v>
      </c>
      <c r="K178">
        <v>3</v>
      </c>
      <c r="L178" s="8" t="str">
        <f t="shared" si="18"/>
        <v/>
      </c>
      <c r="M178" s="8" t="str">
        <f t="shared" si="19"/>
        <v/>
      </c>
    </row>
    <row r="179" spans="3:13" x14ac:dyDescent="0.25">
      <c r="C179">
        <v>170</v>
      </c>
      <c r="D179">
        <v>1</v>
      </c>
      <c r="E179">
        <v>1</v>
      </c>
      <c r="F179" s="8">
        <f t="shared" si="16"/>
        <v>0.2577514792899408</v>
      </c>
      <c r="G179" s="8">
        <f t="shared" si="17"/>
        <v>1</v>
      </c>
      <c r="I179">
        <v>244</v>
      </c>
      <c r="J179">
        <v>16</v>
      </c>
      <c r="K179">
        <v>2</v>
      </c>
      <c r="L179" s="8">
        <f t="shared" si="18"/>
        <v>12.501275510204074</v>
      </c>
      <c r="M179" s="8">
        <f t="shared" si="19"/>
        <v>16</v>
      </c>
    </row>
    <row r="180" spans="3:13" x14ac:dyDescent="0.25">
      <c r="C180">
        <v>171</v>
      </c>
      <c r="D180">
        <v>1</v>
      </c>
      <c r="E180">
        <v>1</v>
      </c>
      <c r="F180" s="8">
        <f t="shared" si="16"/>
        <v>0.2577514792899408</v>
      </c>
      <c r="G180" s="8">
        <f t="shared" si="17"/>
        <v>1</v>
      </c>
      <c r="I180">
        <v>246</v>
      </c>
      <c r="J180">
        <v>4</v>
      </c>
      <c r="K180">
        <v>2</v>
      </c>
      <c r="L180" s="8">
        <f t="shared" si="18"/>
        <v>241.3584183673469</v>
      </c>
      <c r="M180" s="8">
        <f t="shared" si="19"/>
        <v>4</v>
      </c>
    </row>
    <row r="181" spans="3:13" x14ac:dyDescent="0.25">
      <c r="C181">
        <v>172</v>
      </c>
      <c r="D181">
        <v>1</v>
      </c>
      <c r="E181">
        <v>1</v>
      </c>
      <c r="F181" s="8">
        <f t="shared" si="16"/>
        <v>0.2577514792899408</v>
      </c>
      <c r="G181" s="8">
        <f t="shared" si="17"/>
        <v>1</v>
      </c>
      <c r="I181">
        <v>247</v>
      </c>
      <c r="J181">
        <v>20</v>
      </c>
      <c r="K181">
        <v>2</v>
      </c>
      <c r="L181" s="8">
        <f t="shared" si="18"/>
        <v>0.21556122448979687</v>
      </c>
      <c r="M181" s="8">
        <f t="shared" si="19"/>
        <v>20</v>
      </c>
    </row>
    <row r="182" spans="3:13" x14ac:dyDescent="0.25">
      <c r="C182">
        <v>173</v>
      </c>
      <c r="D182">
        <v>2</v>
      </c>
      <c r="E182">
        <v>1</v>
      </c>
      <c r="F182" s="8">
        <f t="shared" si="16"/>
        <v>0.24236686390532547</v>
      </c>
      <c r="G182" s="8">
        <f t="shared" si="17"/>
        <v>2</v>
      </c>
      <c r="I182">
        <v>248</v>
      </c>
      <c r="J182">
        <v>1</v>
      </c>
      <c r="K182">
        <v>2</v>
      </c>
      <c r="L182" s="8">
        <f t="shared" si="18"/>
        <v>343.57270408163259</v>
      </c>
      <c r="M182" s="8">
        <f t="shared" si="19"/>
        <v>1</v>
      </c>
    </row>
    <row r="183" spans="3:13" x14ac:dyDescent="0.25">
      <c r="C183">
        <v>174</v>
      </c>
      <c r="D183">
        <v>1</v>
      </c>
      <c r="E183">
        <v>1</v>
      </c>
      <c r="F183" s="8">
        <f t="shared" si="16"/>
        <v>0.2577514792899408</v>
      </c>
      <c r="G183" s="8">
        <f t="shared" si="17"/>
        <v>1</v>
      </c>
      <c r="I183">
        <v>249</v>
      </c>
      <c r="J183">
        <v>8</v>
      </c>
      <c r="K183">
        <v>4</v>
      </c>
      <c r="L183" s="8" t="str">
        <f t="shared" si="18"/>
        <v/>
      </c>
      <c r="M183" s="8" t="str">
        <f t="shared" si="19"/>
        <v/>
      </c>
    </row>
    <row r="184" spans="3:13" x14ac:dyDescent="0.25">
      <c r="C184">
        <v>175</v>
      </c>
      <c r="D184">
        <v>1</v>
      </c>
      <c r="E184">
        <v>1</v>
      </c>
      <c r="F184" s="8">
        <f t="shared" si="16"/>
        <v>0.2577514792899408</v>
      </c>
      <c r="G184" s="8">
        <f t="shared" si="17"/>
        <v>1</v>
      </c>
      <c r="I184">
        <v>251</v>
      </c>
      <c r="J184">
        <v>6</v>
      </c>
      <c r="K184">
        <v>2</v>
      </c>
      <c r="L184" s="8">
        <f t="shared" si="18"/>
        <v>183.21556122448976</v>
      </c>
      <c r="M184" s="8">
        <f t="shared" si="19"/>
        <v>6</v>
      </c>
    </row>
    <row r="185" spans="3:13" x14ac:dyDescent="0.25">
      <c r="C185">
        <v>176</v>
      </c>
      <c r="D185">
        <v>1</v>
      </c>
      <c r="E185">
        <v>1</v>
      </c>
      <c r="F185" s="8">
        <f t="shared" si="16"/>
        <v>0.2577514792899408</v>
      </c>
      <c r="G185" s="8">
        <f t="shared" si="17"/>
        <v>1</v>
      </c>
      <c r="I185">
        <v>253</v>
      </c>
      <c r="J185">
        <v>53</v>
      </c>
      <c r="K185">
        <v>2</v>
      </c>
      <c r="L185" s="8">
        <f t="shared" si="18"/>
        <v>1119.858418367347</v>
      </c>
      <c r="M185" s="8">
        <f t="shared" si="19"/>
        <v>53</v>
      </c>
    </row>
    <row r="186" spans="3:13" x14ac:dyDescent="0.25">
      <c r="C186">
        <v>177</v>
      </c>
      <c r="D186">
        <v>1</v>
      </c>
      <c r="E186">
        <v>1</v>
      </c>
      <c r="F186" s="8">
        <f t="shared" si="16"/>
        <v>0.2577514792899408</v>
      </c>
      <c r="G186" s="8">
        <f t="shared" si="17"/>
        <v>1</v>
      </c>
      <c r="I186">
        <v>254</v>
      </c>
      <c r="J186">
        <v>4</v>
      </c>
      <c r="K186">
        <v>2</v>
      </c>
      <c r="L186" s="8">
        <f t="shared" si="18"/>
        <v>241.3584183673469</v>
      </c>
      <c r="M186" s="8">
        <f t="shared" si="19"/>
        <v>4</v>
      </c>
    </row>
    <row r="187" spans="3:13" x14ac:dyDescent="0.25">
      <c r="C187">
        <v>178</v>
      </c>
      <c r="D187">
        <v>4</v>
      </c>
      <c r="E187">
        <v>1</v>
      </c>
      <c r="F187" s="8">
        <f t="shared" si="16"/>
        <v>6.2115976331360949</v>
      </c>
      <c r="G187" s="8">
        <f t="shared" si="17"/>
        <v>4</v>
      </c>
      <c r="I187">
        <v>255</v>
      </c>
      <c r="J187">
        <v>13</v>
      </c>
      <c r="K187">
        <v>2</v>
      </c>
      <c r="L187" s="8">
        <f t="shared" si="18"/>
        <v>42.715561224489782</v>
      </c>
      <c r="M187" s="8">
        <f t="shared" si="19"/>
        <v>13</v>
      </c>
    </row>
    <row r="188" spans="3:13" x14ac:dyDescent="0.25">
      <c r="C188">
        <v>179</v>
      </c>
      <c r="D188">
        <v>2</v>
      </c>
      <c r="E188">
        <v>1</v>
      </c>
      <c r="F188" s="8">
        <f t="shared" si="16"/>
        <v>0.24236686390532547</v>
      </c>
      <c r="G188" s="8">
        <f t="shared" si="17"/>
        <v>2</v>
      </c>
      <c r="I188">
        <v>258</v>
      </c>
      <c r="J188">
        <v>55</v>
      </c>
      <c r="K188">
        <v>2</v>
      </c>
      <c r="L188" s="8">
        <f t="shared" si="18"/>
        <v>1257.7155612244899</v>
      </c>
      <c r="M188" s="8">
        <f t="shared" si="19"/>
        <v>55</v>
      </c>
    </row>
    <row r="189" spans="3:13" x14ac:dyDescent="0.25">
      <c r="C189">
        <v>180</v>
      </c>
      <c r="D189">
        <v>1</v>
      </c>
      <c r="E189">
        <v>1</v>
      </c>
      <c r="F189" s="8">
        <f t="shared" si="16"/>
        <v>0.2577514792899408</v>
      </c>
      <c r="G189" s="8">
        <f t="shared" si="17"/>
        <v>1</v>
      </c>
      <c r="I189">
        <v>259</v>
      </c>
      <c r="J189">
        <v>31</v>
      </c>
      <c r="K189">
        <v>4</v>
      </c>
      <c r="L189" s="8" t="str">
        <f t="shared" si="18"/>
        <v/>
      </c>
      <c r="M189" s="8" t="str">
        <f t="shared" si="19"/>
        <v/>
      </c>
    </row>
    <row r="190" spans="3:13" x14ac:dyDescent="0.25">
      <c r="C190">
        <v>181</v>
      </c>
      <c r="D190">
        <v>2</v>
      </c>
      <c r="E190">
        <v>1</v>
      </c>
      <c r="F190" s="8">
        <f t="shared" si="16"/>
        <v>0.24236686390532547</v>
      </c>
      <c r="G190" s="8">
        <f t="shared" si="17"/>
        <v>2</v>
      </c>
      <c r="I190">
        <v>260</v>
      </c>
      <c r="J190">
        <v>39</v>
      </c>
      <c r="K190">
        <v>3</v>
      </c>
      <c r="L190" s="8" t="str">
        <f t="shared" si="18"/>
        <v/>
      </c>
      <c r="M190" s="8" t="str">
        <f t="shared" si="19"/>
        <v/>
      </c>
    </row>
    <row r="191" spans="3:13" x14ac:dyDescent="0.25">
      <c r="C191">
        <v>182</v>
      </c>
      <c r="D191">
        <v>1</v>
      </c>
      <c r="E191">
        <v>1</v>
      </c>
      <c r="F191" s="8">
        <f t="shared" si="16"/>
        <v>0.2577514792899408</v>
      </c>
      <c r="G191" s="8">
        <f t="shared" si="17"/>
        <v>1</v>
      </c>
      <c r="I191">
        <v>261</v>
      </c>
      <c r="J191">
        <v>34</v>
      </c>
      <c r="K191">
        <v>3</v>
      </c>
      <c r="L191" s="8" t="str">
        <f t="shared" si="18"/>
        <v/>
      </c>
      <c r="M191" s="8" t="str">
        <f t="shared" si="19"/>
        <v/>
      </c>
    </row>
    <row r="192" spans="3:13" x14ac:dyDescent="0.25">
      <c r="C192">
        <v>183</v>
      </c>
      <c r="D192">
        <v>2</v>
      </c>
      <c r="E192">
        <v>1</v>
      </c>
      <c r="F192" s="8">
        <f t="shared" si="16"/>
        <v>0.24236686390532547</v>
      </c>
      <c r="G192" s="8">
        <f t="shared" si="17"/>
        <v>2</v>
      </c>
      <c r="I192">
        <v>264</v>
      </c>
      <c r="J192">
        <v>37</v>
      </c>
      <c r="K192">
        <v>3</v>
      </c>
      <c r="L192" s="8" t="str">
        <f t="shared" si="18"/>
        <v/>
      </c>
      <c r="M192" s="8" t="str">
        <f t="shared" si="19"/>
        <v/>
      </c>
    </row>
    <row r="193" spans="3:13" x14ac:dyDescent="0.25">
      <c r="C193">
        <v>184</v>
      </c>
      <c r="D193">
        <v>3</v>
      </c>
      <c r="E193">
        <v>1</v>
      </c>
      <c r="F193" s="8">
        <f t="shared" si="16"/>
        <v>2.2269822485207103</v>
      </c>
      <c r="G193" s="8">
        <f t="shared" si="17"/>
        <v>3</v>
      </c>
      <c r="I193">
        <v>268</v>
      </c>
      <c r="J193">
        <v>12</v>
      </c>
      <c r="K193">
        <v>3</v>
      </c>
      <c r="L193" s="8" t="str">
        <f t="shared" si="18"/>
        <v/>
      </c>
      <c r="M193" s="8" t="str">
        <f t="shared" si="19"/>
        <v/>
      </c>
    </row>
    <row r="194" spans="3:13" x14ac:dyDescent="0.25">
      <c r="C194">
        <v>185</v>
      </c>
      <c r="D194">
        <v>3</v>
      </c>
      <c r="E194">
        <v>1</v>
      </c>
      <c r="F194" s="8">
        <f t="shared" si="16"/>
        <v>2.2269822485207103</v>
      </c>
      <c r="G194" s="8">
        <f t="shared" si="17"/>
        <v>3</v>
      </c>
      <c r="I194">
        <v>270</v>
      </c>
      <c r="J194">
        <v>5</v>
      </c>
      <c r="K194">
        <v>2</v>
      </c>
      <c r="L194" s="8">
        <f t="shared" si="18"/>
        <v>211.28698979591834</v>
      </c>
      <c r="M194" s="8">
        <f t="shared" si="19"/>
        <v>5</v>
      </c>
    </row>
    <row r="195" spans="3:13" x14ac:dyDescent="0.25">
      <c r="C195">
        <v>186</v>
      </c>
      <c r="D195">
        <v>1</v>
      </c>
      <c r="E195">
        <v>1</v>
      </c>
      <c r="F195" s="8">
        <f t="shared" si="16"/>
        <v>0.2577514792899408</v>
      </c>
      <c r="G195" s="8">
        <f t="shared" si="17"/>
        <v>1</v>
      </c>
      <c r="I195">
        <v>271</v>
      </c>
      <c r="J195">
        <v>12</v>
      </c>
      <c r="K195">
        <v>3</v>
      </c>
      <c r="L195" s="8" t="str">
        <f t="shared" si="18"/>
        <v/>
      </c>
      <c r="M195" s="8" t="str">
        <f t="shared" si="19"/>
        <v/>
      </c>
    </row>
    <row r="196" spans="3:13" x14ac:dyDescent="0.25">
      <c r="C196">
        <v>187</v>
      </c>
      <c r="D196">
        <v>1</v>
      </c>
      <c r="E196">
        <v>2</v>
      </c>
      <c r="F196" s="8" t="str">
        <f t="shared" si="16"/>
        <v/>
      </c>
      <c r="G196" s="8" t="str">
        <f t="shared" si="17"/>
        <v/>
      </c>
      <c r="I196">
        <v>273</v>
      </c>
      <c r="J196">
        <v>1</v>
      </c>
      <c r="K196">
        <v>2</v>
      </c>
      <c r="L196" s="8">
        <f t="shared" si="18"/>
        <v>343.57270408163259</v>
      </c>
      <c r="M196" s="8">
        <f t="shared" si="19"/>
        <v>1</v>
      </c>
    </row>
    <row r="197" spans="3:13" x14ac:dyDescent="0.25">
      <c r="C197">
        <v>188</v>
      </c>
      <c r="D197">
        <v>1</v>
      </c>
      <c r="E197">
        <v>2</v>
      </c>
      <c r="F197" s="8" t="str">
        <f t="shared" si="16"/>
        <v/>
      </c>
      <c r="G197" s="8" t="str">
        <f t="shared" si="17"/>
        <v/>
      </c>
      <c r="I197">
        <v>274</v>
      </c>
      <c r="J197">
        <v>16</v>
      </c>
      <c r="K197">
        <v>2</v>
      </c>
      <c r="L197" s="8">
        <f t="shared" si="18"/>
        <v>12.501275510204074</v>
      </c>
      <c r="M197" s="8">
        <f t="shared" si="19"/>
        <v>16</v>
      </c>
    </row>
    <row r="198" spans="3:13" x14ac:dyDescent="0.25">
      <c r="C198">
        <v>189</v>
      </c>
      <c r="D198">
        <v>1</v>
      </c>
      <c r="E198">
        <v>1</v>
      </c>
      <c r="F198" s="8">
        <f t="shared" si="16"/>
        <v>0.2577514792899408</v>
      </c>
      <c r="G198" s="8">
        <f t="shared" si="17"/>
        <v>1</v>
      </c>
      <c r="I198">
        <v>275</v>
      </c>
      <c r="J198">
        <v>13</v>
      </c>
      <c r="K198">
        <v>2</v>
      </c>
      <c r="L198" s="8">
        <f t="shared" si="18"/>
        <v>42.715561224489782</v>
      </c>
      <c r="M198" s="8">
        <f t="shared" si="19"/>
        <v>13</v>
      </c>
    </row>
    <row r="199" spans="3:13" x14ac:dyDescent="0.25">
      <c r="C199">
        <v>190</v>
      </c>
      <c r="D199">
        <v>1</v>
      </c>
      <c r="E199">
        <v>1</v>
      </c>
      <c r="F199" s="8">
        <f t="shared" si="16"/>
        <v>0.2577514792899408</v>
      </c>
      <c r="G199" s="8">
        <f t="shared" si="17"/>
        <v>1</v>
      </c>
      <c r="I199">
        <v>276</v>
      </c>
      <c r="J199">
        <v>17</v>
      </c>
      <c r="K199">
        <v>2</v>
      </c>
      <c r="L199" s="8">
        <f t="shared" si="18"/>
        <v>6.4298469387755048</v>
      </c>
      <c r="M199" s="8">
        <f t="shared" si="19"/>
        <v>17</v>
      </c>
    </row>
    <row r="200" spans="3:13" x14ac:dyDescent="0.25">
      <c r="C200">
        <v>191</v>
      </c>
      <c r="D200">
        <v>1</v>
      </c>
      <c r="E200">
        <v>1</v>
      </c>
      <c r="F200" s="8">
        <f t="shared" si="16"/>
        <v>0.2577514792899408</v>
      </c>
      <c r="G200" s="8">
        <f t="shared" si="17"/>
        <v>1</v>
      </c>
      <c r="I200">
        <v>277</v>
      </c>
      <c r="J200">
        <v>4</v>
      </c>
      <c r="K200">
        <v>2</v>
      </c>
      <c r="L200" s="8">
        <f t="shared" si="18"/>
        <v>241.3584183673469</v>
      </c>
      <c r="M200" s="8">
        <f t="shared" si="19"/>
        <v>4</v>
      </c>
    </row>
    <row r="201" spans="3:13" x14ac:dyDescent="0.25">
      <c r="C201">
        <v>192</v>
      </c>
      <c r="D201">
        <v>2</v>
      </c>
      <c r="E201">
        <v>1</v>
      </c>
      <c r="F201" s="8">
        <f t="shared" si="16"/>
        <v>0.24236686390532547</v>
      </c>
      <c r="G201" s="8">
        <f t="shared" si="17"/>
        <v>2</v>
      </c>
      <c r="I201">
        <v>278</v>
      </c>
      <c r="J201">
        <v>1</v>
      </c>
      <c r="K201">
        <v>3</v>
      </c>
      <c r="L201" s="8" t="str">
        <f t="shared" si="18"/>
        <v/>
      </c>
      <c r="M201" s="8" t="str">
        <f t="shared" si="19"/>
        <v/>
      </c>
    </row>
    <row r="202" spans="3:13" x14ac:dyDescent="0.25">
      <c r="C202">
        <v>193</v>
      </c>
      <c r="D202">
        <v>1</v>
      </c>
      <c r="E202">
        <v>1</v>
      </c>
      <c r="F202" s="8">
        <f t="shared" ref="F202:F265" si="20">IF(E202=1,(D202-$D$2)*(D202-$D$2),"")</f>
        <v>0.2577514792899408</v>
      </c>
      <c r="G202" s="8">
        <f t="shared" ref="G202:G265" si="21">IF(E202=1,D202,"")</f>
        <v>1</v>
      </c>
      <c r="I202">
        <v>279</v>
      </c>
      <c r="J202">
        <v>1</v>
      </c>
      <c r="K202">
        <v>2</v>
      </c>
      <c r="L202" s="8">
        <f t="shared" ref="L202:L216" si="22">IF(K202=2,(J202-$J$2)*(J202-$J$2),"")</f>
        <v>343.57270408163259</v>
      </c>
      <c r="M202" s="8">
        <f t="shared" ref="M202:M216" si="23">IF(K202=2,J202,"")</f>
        <v>1</v>
      </c>
    </row>
    <row r="203" spans="3:13" x14ac:dyDescent="0.25">
      <c r="C203">
        <v>194</v>
      </c>
      <c r="D203">
        <v>2</v>
      </c>
      <c r="E203">
        <v>1</v>
      </c>
      <c r="F203" s="8">
        <f t="shared" si="20"/>
        <v>0.24236686390532547</v>
      </c>
      <c r="G203" s="8">
        <f t="shared" si="21"/>
        <v>2</v>
      </c>
      <c r="I203">
        <v>280</v>
      </c>
      <c r="J203">
        <v>1</v>
      </c>
      <c r="K203">
        <v>2</v>
      </c>
      <c r="L203" s="8">
        <f t="shared" si="22"/>
        <v>343.57270408163259</v>
      </c>
      <c r="M203" s="8">
        <f t="shared" si="23"/>
        <v>1</v>
      </c>
    </row>
    <row r="204" spans="3:13" x14ac:dyDescent="0.25">
      <c r="C204">
        <v>195</v>
      </c>
      <c r="D204">
        <v>1</v>
      </c>
      <c r="E204">
        <v>2</v>
      </c>
      <c r="F204" s="8" t="str">
        <f t="shared" si="20"/>
        <v/>
      </c>
      <c r="G204" s="8" t="str">
        <f t="shared" si="21"/>
        <v/>
      </c>
      <c r="I204">
        <v>281</v>
      </c>
      <c r="J204">
        <v>1</v>
      </c>
      <c r="K204">
        <v>2</v>
      </c>
      <c r="L204" s="8">
        <f t="shared" si="22"/>
        <v>343.57270408163259</v>
      </c>
      <c r="M204" s="8">
        <f t="shared" si="23"/>
        <v>1</v>
      </c>
    </row>
    <row r="205" spans="3:13" x14ac:dyDescent="0.25">
      <c r="C205">
        <v>196</v>
      </c>
      <c r="D205">
        <v>1</v>
      </c>
      <c r="E205">
        <v>1</v>
      </c>
      <c r="F205" s="8">
        <f t="shared" si="20"/>
        <v>0.2577514792899408</v>
      </c>
      <c r="G205" s="8">
        <f t="shared" si="21"/>
        <v>1</v>
      </c>
      <c r="I205">
        <v>282</v>
      </c>
      <c r="J205">
        <v>29</v>
      </c>
      <c r="K205">
        <v>3</v>
      </c>
      <c r="L205" s="8" t="str">
        <f t="shared" si="22"/>
        <v/>
      </c>
      <c r="M205" s="8" t="str">
        <f t="shared" si="23"/>
        <v/>
      </c>
    </row>
    <row r="206" spans="3:13" x14ac:dyDescent="0.25">
      <c r="C206">
        <v>197</v>
      </c>
      <c r="D206">
        <v>1</v>
      </c>
      <c r="E206">
        <v>2</v>
      </c>
      <c r="F206" s="8" t="str">
        <f t="shared" si="20"/>
        <v/>
      </c>
      <c r="G206" s="8" t="str">
        <f t="shared" si="21"/>
        <v/>
      </c>
      <c r="I206">
        <v>283</v>
      </c>
      <c r="J206">
        <v>40</v>
      </c>
      <c r="K206">
        <v>2</v>
      </c>
      <c r="L206" s="8">
        <f t="shared" si="22"/>
        <v>418.78698979591843</v>
      </c>
      <c r="M206" s="8">
        <f t="shared" si="23"/>
        <v>40</v>
      </c>
    </row>
    <row r="207" spans="3:13" x14ac:dyDescent="0.25">
      <c r="C207">
        <v>198</v>
      </c>
      <c r="D207">
        <v>1</v>
      </c>
      <c r="E207">
        <v>1</v>
      </c>
      <c r="F207" s="8">
        <f t="shared" si="20"/>
        <v>0.2577514792899408</v>
      </c>
      <c r="G207" s="8">
        <f t="shared" si="21"/>
        <v>1</v>
      </c>
      <c r="I207">
        <v>285</v>
      </c>
      <c r="J207">
        <v>119</v>
      </c>
      <c r="K207">
        <v>3</v>
      </c>
      <c r="L207" s="8" t="str">
        <f t="shared" si="22"/>
        <v/>
      </c>
      <c r="M207" s="8" t="str">
        <f t="shared" si="23"/>
        <v/>
      </c>
    </row>
    <row r="208" spans="3:13" x14ac:dyDescent="0.25">
      <c r="C208">
        <v>199</v>
      </c>
      <c r="D208">
        <v>2</v>
      </c>
      <c r="E208">
        <v>1</v>
      </c>
      <c r="F208" s="8">
        <f t="shared" si="20"/>
        <v>0.24236686390532547</v>
      </c>
      <c r="G208" s="8">
        <f t="shared" si="21"/>
        <v>2</v>
      </c>
      <c r="I208">
        <v>287</v>
      </c>
      <c r="J208">
        <v>22</v>
      </c>
      <c r="K208">
        <v>3</v>
      </c>
      <c r="L208" s="8" t="str">
        <f t="shared" si="22"/>
        <v/>
      </c>
      <c r="M208" s="8" t="str">
        <f t="shared" si="23"/>
        <v/>
      </c>
    </row>
    <row r="209" spans="3:13" x14ac:dyDescent="0.25">
      <c r="C209">
        <v>200</v>
      </c>
      <c r="D209">
        <v>1</v>
      </c>
      <c r="E209">
        <v>2</v>
      </c>
      <c r="F209" s="8" t="str">
        <f t="shared" si="20"/>
        <v/>
      </c>
      <c r="G209" s="8" t="str">
        <f t="shared" si="21"/>
        <v/>
      </c>
      <c r="I209">
        <v>288</v>
      </c>
      <c r="J209">
        <v>30</v>
      </c>
      <c r="K209">
        <v>2</v>
      </c>
      <c r="L209" s="8">
        <f t="shared" si="22"/>
        <v>109.50127551020411</v>
      </c>
      <c r="M209" s="8">
        <f t="shared" si="23"/>
        <v>30</v>
      </c>
    </row>
    <row r="210" spans="3:13" x14ac:dyDescent="0.25">
      <c r="C210">
        <v>201</v>
      </c>
      <c r="D210">
        <v>1</v>
      </c>
      <c r="E210">
        <v>1</v>
      </c>
      <c r="F210" s="8">
        <f t="shared" si="20"/>
        <v>0.2577514792899408</v>
      </c>
      <c r="G210" s="8">
        <f t="shared" si="21"/>
        <v>1</v>
      </c>
      <c r="I210">
        <v>289</v>
      </c>
      <c r="J210">
        <v>8</v>
      </c>
      <c r="K210">
        <v>2</v>
      </c>
      <c r="L210" s="8">
        <f t="shared" si="22"/>
        <v>133.07270408163262</v>
      </c>
      <c r="M210" s="8">
        <f t="shared" si="23"/>
        <v>8</v>
      </c>
    </row>
    <row r="211" spans="3:13" x14ac:dyDescent="0.25">
      <c r="C211">
        <v>202</v>
      </c>
      <c r="D211">
        <v>3</v>
      </c>
      <c r="E211">
        <v>1</v>
      </c>
      <c r="F211" s="8">
        <f t="shared" si="20"/>
        <v>2.2269822485207103</v>
      </c>
      <c r="G211" s="8">
        <f t="shared" si="21"/>
        <v>3</v>
      </c>
      <c r="I211">
        <v>292</v>
      </c>
      <c r="J211">
        <v>25</v>
      </c>
      <c r="K211">
        <v>2</v>
      </c>
      <c r="L211" s="8">
        <f t="shared" si="22"/>
        <v>29.85841836734695</v>
      </c>
      <c r="M211" s="8">
        <f t="shared" si="23"/>
        <v>25</v>
      </c>
    </row>
    <row r="212" spans="3:13" x14ac:dyDescent="0.25">
      <c r="C212">
        <v>203</v>
      </c>
      <c r="D212">
        <v>1</v>
      </c>
      <c r="E212">
        <v>1</v>
      </c>
      <c r="F212" s="8">
        <f t="shared" si="20"/>
        <v>0.2577514792899408</v>
      </c>
      <c r="G212" s="8">
        <f t="shared" si="21"/>
        <v>1</v>
      </c>
      <c r="I212">
        <v>293</v>
      </c>
      <c r="J212">
        <v>1</v>
      </c>
      <c r="K212">
        <v>2</v>
      </c>
      <c r="L212" s="8">
        <f t="shared" si="22"/>
        <v>343.57270408163259</v>
      </c>
      <c r="M212" s="8">
        <f t="shared" si="23"/>
        <v>1</v>
      </c>
    </row>
    <row r="213" spans="3:13" x14ac:dyDescent="0.25">
      <c r="C213">
        <v>204</v>
      </c>
      <c r="D213">
        <v>1</v>
      </c>
      <c r="E213">
        <v>1</v>
      </c>
      <c r="F213" s="8">
        <f t="shared" si="20"/>
        <v>0.2577514792899408</v>
      </c>
      <c r="G213" s="8">
        <f t="shared" si="21"/>
        <v>1</v>
      </c>
      <c r="I213">
        <v>294</v>
      </c>
      <c r="J213">
        <v>1</v>
      </c>
      <c r="K213">
        <v>2</v>
      </c>
      <c r="L213" s="8">
        <f t="shared" si="22"/>
        <v>343.57270408163259</v>
      </c>
      <c r="M213" s="8">
        <f t="shared" si="23"/>
        <v>1</v>
      </c>
    </row>
    <row r="214" spans="3:13" x14ac:dyDescent="0.25">
      <c r="C214">
        <v>205</v>
      </c>
      <c r="D214">
        <v>1</v>
      </c>
      <c r="E214">
        <v>1</v>
      </c>
      <c r="F214" s="8">
        <f t="shared" si="20"/>
        <v>0.2577514792899408</v>
      </c>
      <c r="G214" s="8">
        <f t="shared" si="21"/>
        <v>1</v>
      </c>
      <c r="I214">
        <v>297</v>
      </c>
      <c r="J214">
        <v>35</v>
      </c>
      <c r="K214">
        <v>2</v>
      </c>
      <c r="L214" s="8">
        <f t="shared" si="22"/>
        <v>239.14413265306126</v>
      </c>
      <c r="M214" s="8">
        <f t="shared" si="23"/>
        <v>35</v>
      </c>
    </row>
    <row r="215" spans="3:13" x14ac:dyDescent="0.25">
      <c r="C215">
        <v>206</v>
      </c>
      <c r="D215">
        <v>1</v>
      </c>
      <c r="E215">
        <v>1</v>
      </c>
      <c r="F215" s="8">
        <f t="shared" si="20"/>
        <v>0.2577514792899408</v>
      </c>
      <c r="G215" s="8">
        <f t="shared" si="21"/>
        <v>1</v>
      </c>
      <c r="I215">
        <v>298</v>
      </c>
      <c r="J215">
        <v>10</v>
      </c>
      <c r="K215">
        <v>2</v>
      </c>
      <c r="L215" s="8">
        <f t="shared" si="22"/>
        <v>90.929846938775498</v>
      </c>
      <c r="M215" s="8">
        <f t="shared" si="23"/>
        <v>10</v>
      </c>
    </row>
    <row r="216" spans="3:13" x14ac:dyDescent="0.25">
      <c r="C216">
        <v>207</v>
      </c>
      <c r="D216">
        <v>1</v>
      </c>
      <c r="E216">
        <v>1</v>
      </c>
      <c r="F216" s="8">
        <f t="shared" si="20"/>
        <v>0.2577514792899408</v>
      </c>
      <c r="G216" s="8">
        <f t="shared" si="21"/>
        <v>1</v>
      </c>
      <c r="I216">
        <v>299</v>
      </c>
      <c r="J216">
        <v>14</v>
      </c>
      <c r="K216">
        <v>2</v>
      </c>
      <c r="L216" s="8">
        <f t="shared" si="22"/>
        <v>30.644132653061213</v>
      </c>
      <c r="M216" s="8">
        <f t="shared" si="23"/>
        <v>14</v>
      </c>
    </row>
    <row r="217" spans="3:13" x14ac:dyDescent="0.25">
      <c r="C217">
        <v>208</v>
      </c>
      <c r="D217">
        <v>1</v>
      </c>
      <c r="E217">
        <v>2</v>
      </c>
      <c r="F217" s="8" t="str">
        <f t="shared" si="20"/>
        <v/>
      </c>
      <c r="G217" s="8" t="str">
        <f t="shared" si="21"/>
        <v/>
      </c>
    </row>
    <row r="218" spans="3:13" x14ac:dyDescent="0.25">
      <c r="C218">
        <v>209</v>
      </c>
      <c r="D218">
        <v>1</v>
      </c>
      <c r="E218">
        <v>1</v>
      </c>
      <c r="F218" s="8">
        <f t="shared" si="20"/>
        <v>0.2577514792899408</v>
      </c>
      <c r="G218" s="8">
        <f t="shared" si="21"/>
        <v>1</v>
      </c>
    </row>
    <row r="219" spans="3:13" x14ac:dyDescent="0.25">
      <c r="C219">
        <v>210</v>
      </c>
      <c r="D219">
        <v>1</v>
      </c>
      <c r="E219">
        <v>1</v>
      </c>
      <c r="F219" s="8">
        <f t="shared" si="20"/>
        <v>0.2577514792899408</v>
      </c>
      <c r="G219" s="8">
        <f t="shared" si="21"/>
        <v>1</v>
      </c>
    </row>
    <row r="220" spans="3:13" x14ac:dyDescent="0.25">
      <c r="C220">
        <v>211</v>
      </c>
      <c r="D220">
        <v>5</v>
      </c>
      <c r="E220">
        <v>1</v>
      </c>
      <c r="F220" s="8">
        <f t="shared" si="20"/>
        <v>12.196213017751479</v>
      </c>
      <c r="G220" s="8">
        <f t="shared" si="21"/>
        <v>5</v>
      </c>
    </row>
    <row r="221" spans="3:13" x14ac:dyDescent="0.25">
      <c r="C221">
        <v>212</v>
      </c>
      <c r="D221">
        <v>1</v>
      </c>
      <c r="E221">
        <v>1</v>
      </c>
      <c r="F221" s="8">
        <f t="shared" si="20"/>
        <v>0.2577514792899408</v>
      </c>
      <c r="G221" s="8">
        <f t="shared" si="21"/>
        <v>1</v>
      </c>
    </row>
    <row r="222" spans="3:13" x14ac:dyDescent="0.25">
      <c r="C222">
        <v>213</v>
      </c>
      <c r="D222">
        <v>1</v>
      </c>
      <c r="E222">
        <v>1</v>
      </c>
      <c r="F222" s="8">
        <f t="shared" si="20"/>
        <v>0.2577514792899408</v>
      </c>
      <c r="G222" s="8">
        <f t="shared" si="21"/>
        <v>1</v>
      </c>
    </row>
    <row r="223" spans="3:13" x14ac:dyDescent="0.25">
      <c r="C223">
        <v>214</v>
      </c>
      <c r="D223">
        <v>1</v>
      </c>
      <c r="E223">
        <v>1</v>
      </c>
      <c r="F223" s="8">
        <f t="shared" si="20"/>
        <v>0.2577514792899408</v>
      </c>
      <c r="G223" s="8">
        <f t="shared" si="21"/>
        <v>1</v>
      </c>
    </row>
    <row r="224" spans="3:13" x14ac:dyDescent="0.25">
      <c r="C224">
        <v>215</v>
      </c>
      <c r="D224">
        <v>1</v>
      </c>
      <c r="E224">
        <v>1</v>
      </c>
      <c r="F224" s="8">
        <f t="shared" si="20"/>
        <v>0.2577514792899408</v>
      </c>
      <c r="G224" s="8">
        <f t="shared" si="21"/>
        <v>1</v>
      </c>
    </row>
    <row r="225" spans="3:7" x14ac:dyDescent="0.25">
      <c r="C225">
        <v>216</v>
      </c>
      <c r="D225">
        <v>3</v>
      </c>
      <c r="E225">
        <v>1</v>
      </c>
      <c r="F225" s="8">
        <f t="shared" si="20"/>
        <v>2.2269822485207103</v>
      </c>
      <c r="G225" s="8">
        <f t="shared" si="21"/>
        <v>3</v>
      </c>
    </row>
    <row r="226" spans="3:7" x14ac:dyDescent="0.25">
      <c r="C226">
        <v>217</v>
      </c>
      <c r="D226">
        <v>1</v>
      </c>
      <c r="E226">
        <v>1</v>
      </c>
      <c r="F226" s="8">
        <f t="shared" si="20"/>
        <v>0.2577514792899408</v>
      </c>
      <c r="G226" s="8">
        <f t="shared" si="21"/>
        <v>1</v>
      </c>
    </row>
    <row r="227" spans="3:7" x14ac:dyDescent="0.25">
      <c r="C227">
        <v>218</v>
      </c>
      <c r="D227">
        <v>1</v>
      </c>
      <c r="E227">
        <v>1</v>
      </c>
      <c r="F227" s="8">
        <f t="shared" si="20"/>
        <v>0.2577514792899408</v>
      </c>
      <c r="G227" s="8">
        <f t="shared" si="21"/>
        <v>1</v>
      </c>
    </row>
    <row r="228" spans="3:7" x14ac:dyDescent="0.25">
      <c r="C228">
        <v>219</v>
      </c>
      <c r="D228">
        <v>1</v>
      </c>
      <c r="E228">
        <v>1</v>
      </c>
      <c r="F228" s="8">
        <f t="shared" si="20"/>
        <v>0.2577514792899408</v>
      </c>
      <c r="G228" s="8">
        <f t="shared" si="21"/>
        <v>1</v>
      </c>
    </row>
    <row r="229" spans="3:7" x14ac:dyDescent="0.25">
      <c r="C229">
        <v>220</v>
      </c>
      <c r="D229">
        <v>1</v>
      </c>
      <c r="E229">
        <v>1</v>
      </c>
      <c r="F229" s="8">
        <f t="shared" si="20"/>
        <v>0.2577514792899408</v>
      </c>
      <c r="G229" s="8">
        <f t="shared" si="21"/>
        <v>1</v>
      </c>
    </row>
    <row r="230" spans="3:7" x14ac:dyDescent="0.25">
      <c r="C230">
        <v>221</v>
      </c>
      <c r="D230">
        <v>1</v>
      </c>
      <c r="E230">
        <v>1</v>
      </c>
      <c r="F230" s="8">
        <f t="shared" si="20"/>
        <v>0.2577514792899408</v>
      </c>
      <c r="G230" s="8">
        <f t="shared" si="21"/>
        <v>1</v>
      </c>
    </row>
    <row r="231" spans="3:7" x14ac:dyDescent="0.25">
      <c r="C231">
        <v>222</v>
      </c>
      <c r="D231">
        <v>1</v>
      </c>
      <c r="E231">
        <v>1</v>
      </c>
      <c r="F231" s="8">
        <f t="shared" si="20"/>
        <v>0.2577514792899408</v>
      </c>
      <c r="G231" s="8">
        <f t="shared" si="21"/>
        <v>1</v>
      </c>
    </row>
    <row r="232" spans="3:7" x14ac:dyDescent="0.25">
      <c r="C232">
        <v>223</v>
      </c>
      <c r="D232">
        <v>1</v>
      </c>
      <c r="E232">
        <v>1</v>
      </c>
      <c r="F232" s="8">
        <f t="shared" si="20"/>
        <v>0.2577514792899408</v>
      </c>
      <c r="G232" s="8">
        <f t="shared" si="21"/>
        <v>1</v>
      </c>
    </row>
    <row r="233" spans="3:7" x14ac:dyDescent="0.25">
      <c r="C233">
        <v>224</v>
      </c>
      <c r="D233">
        <v>1</v>
      </c>
      <c r="E233">
        <v>2</v>
      </c>
      <c r="F233" s="8" t="str">
        <f t="shared" si="20"/>
        <v/>
      </c>
      <c r="G233" s="8" t="str">
        <f t="shared" si="21"/>
        <v/>
      </c>
    </row>
    <row r="234" spans="3:7" x14ac:dyDescent="0.25">
      <c r="C234">
        <v>225</v>
      </c>
      <c r="D234">
        <v>5</v>
      </c>
      <c r="E234">
        <v>1</v>
      </c>
      <c r="F234" s="8">
        <f t="shared" si="20"/>
        <v>12.196213017751479</v>
      </c>
      <c r="G234" s="8">
        <f t="shared" si="21"/>
        <v>5</v>
      </c>
    </row>
    <row r="235" spans="3:7" x14ac:dyDescent="0.25">
      <c r="C235">
        <v>226</v>
      </c>
      <c r="D235">
        <v>1</v>
      </c>
      <c r="E235">
        <v>1</v>
      </c>
      <c r="F235" s="8">
        <f t="shared" si="20"/>
        <v>0.2577514792899408</v>
      </c>
      <c r="G235" s="8">
        <f t="shared" si="21"/>
        <v>1</v>
      </c>
    </row>
    <row r="236" spans="3:7" x14ac:dyDescent="0.25">
      <c r="C236">
        <v>227</v>
      </c>
      <c r="D236">
        <v>1</v>
      </c>
      <c r="E236">
        <v>1</v>
      </c>
      <c r="F236" s="8">
        <f t="shared" si="20"/>
        <v>0.2577514792899408</v>
      </c>
      <c r="G236" s="8">
        <f t="shared" si="21"/>
        <v>1</v>
      </c>
    </row>
    <row r="237" spans="3:7" x14ac:dyDescent="0.25">
      <c r="C237">
        <v>228</v>
      </c>
      <c r="D237">
        <v>1</v>
      </c>
      <c r="E237">
        <v>1</v>
      </c>
      <c r="F237" s="8">
        <f t="shared" si="20"/>
        <v>0.2577514792899408</v>
      </c>
      <c r="G237" s="8">
        <f t="shared" si="21"/>
        <v>1</v>
      </c>
    </row>
    <row r="238" spans="3:7" x14ac:dyDescent="0.25">
      <c r="C238">
        <v>229</v>
      </c>
      <c r="D238">
        <v>1</v>
      </c>
      <c r="E238">
        <v>2</v>
      </c>
      <c r="F238" s="8" t="str">
        <f t="shared" si="20"/>
        <v/>
      </c>
      <c r="G238" s="8" t="str">
        <f t="shared" si="21"/>
        <v/>
      </c>
    </row>
    <row r="239" spans="3:7" x14ac:dyDescent="0.25">
      <c r="C239">
        <v>230</v>
      </c>
      <c r="D239">
        <v>1</v>
      </c>
      <c r="E239">
        <v>1</v>
      </c>
      <c r="F239" s="8">
        <f t="shared" si="20"/>
        <v>0.2577514792899408</v>
      </c>
      <c r="G239" s="8">
        <f t="shared" si="21"/>
        <v>1</v>
      </c>
    </row>
    <row r="240" spans="3:7" x14ac:dyDescent="0.25">
      <c r="C240">
        <v>231</v>
      </c>
      <c r="D240">
        <v>2</v>
      </c>
      <c r="E240">
        <v>1</v>
      </c>
      <c r="F240" s="8">
        <f t="shared" si="20"/>
        <v>0.24236686390532547</v>
      </c>
      <c r="G240" s="8">
        <f t="shared" si="21"/>
        <v>2</v>
      </c>
    </row>
    <row r="241" spans="3:7" x14ac:dyDescent="0.25">
      <c r="C241">
        <v>232</v>
      </c>
      <c r="D241">
        <v>1</v>
      </c>
      <c r="E241">
        <v>1</v>
      </c>
      <c r="F241" s="8">
        <f t="shared" si="20"/>
        <v>0.2577514792899408</v>
      </c>
      <c r="G241" s="8">
        <f t="shared" si="21"/>
        <v>1</v>
      </c>
    </row>
    <row r="242" spans="3:7" x14ac:dyDescent="0.25">
      <c r="C242">
        <v>233</v>
      </c>
      <c r="D242">
        <v>1</v>
      </c>
      <c r="E242">
        <v>1</v>
      </c>
      <c r="F242" s="8">
        <f t="shared" si="20"/>
        <v>0.2577514792899408</v>
      </c>
      <c r="G242" s="8">
        <f t="shared" si="21"/>
        <v>1</v>
      </c>
    </row>
    <row r="243" spans="3:7" x14ac:dyDescent="0.25">
      <c r="C243">
        <v>234</v>
      </c>
      <c r="D243">
        <v>1</v>
      </c>
      <c r="E243">
        <v>1</v>
      </c>
      <c r="F243" s="8">
        <f t="shared" si="20"/>
        <v>0.2577514792899408</v>
      </c>
      <c r="G243" s="8">
        <f t="shared" si="21"/>
        <v>1</v>
      </c>
    </row>
    <row r="244" spans="3:7" x14ac:dyDescent="0.25">
      <c r="C244">
        <v>235</v>
      </c>
      <c r="D244">
        <v>1</v>
      </c>
      <c r="E244">
        <v>1</v>
      </c>
      <c r="F244" s="8">
        <f t="shared" si="20"/>
        <v>0.2577514792899408</v>
      </c>
      <c r="G244" s="8">
        <f t="shared" si="21"/>
        <v>1</v>
      </c>
    </row>
    <row r="245" spans="3:7" x14ac:dyDescent="0.25">
      <c r="C245">
        <v>236</v>
      </c>
      <c r="D245">
        <v>1</v>
      </c>
      <c r="E245">
        <v>2</v>
      </c>
      <c r="F245" s="8" t="str">
        <f t="shared" si="20"/>
        <v/>
      </c>
      <c r="G245" s="8" t="str">
        <f t="shared" si="21"/>
        <v/>
      </c>
    </row>
    <row r="246" spans="3:7" x14ac:dyDescent="0.25">
      <c r="C246">
        <v>237</v>
      </c>
      <c r="D246">
        <v>1</v>
      </c>
      <c r="E246">
        <v>1</v>
      </c>
      <c r="F246" s="8">
        <f t="shared" si="20"/>
        <v>0.2577514792899408</v>
      </c>
      <c r="G246" s="8">
        <f t="shared" si="21"/>
        <v>1</v>
      </c>
    </row>
    <row r="247" spans="3:7" x14ac:dyDescent="0.25">
      <c r="C247">
        <v>238</v>
      </c>
      <c r="D247">
        <v>1</v>
      </c>
      <c r="E247">
        <v>1</v>
      </c>
      <c r="F247" s="8">
        <f t="shared" si="20"/>
        <v>0.2577514792899408</v>
      </c>
      <c r="G247" s="8">
        <f t="shared" si="21"/>
        <v>1</v>
      </c>
    </row>
    <row r="248" spans="3:7" x14ac:dyDescent="0.25">
      <c r="C248">
        <v>239</v>
      </c>
      <c r="D248">
        <v>1</v>
      </c>
      <c r="E248">
        <v>1</v>
      </c>
      <c r="F248" s="8">
        <f t="shared" si="20"/>
        <v>0.2577514792899408</v>
      </c>
      <c r="G248" s="8">
        <f t="shared" si="21"/>
        <v>1</v>
      </c>
    </row>
    <row r="249" spans="3:7" x14ac:dyDescent="0.25">
      <c r="C249">
        <v>240</v>
      </c>
      <c r="D249">
        <v>1</v>
      </c>
      <c r="E249">
        <v>1</v>
      </c>
      <c r="F249" s="8">
        <f t="shared" si="20"/>
        <v>0.2577514792899408</v>
      </c>
      <c r="G249" s="8">
        <f t="shared" si="21"/>
        <v>1</v>
      </c>
    </row>
    <row r="250" spans="3:7" x14ac:dyDescent="0.25">
      <c r="C250">
        <v>241</v>
      </c>
      <c r="D250">
        <v>1</v>
      </c>
      <c r="E250">
        <v>1</v>
      </c>
      <c r="F250" s="8">
        <f t="shared" si="20"/>
        <v>0.2577514792899408</v>
      </c>
      <c r="G250" s="8">
        <f t="shared" si="21"/>
        <v>1</v>
      </c>
    </row>
    <row r="251" spans="3:7" x14ac:dyDescent="0.25">
      <c r="C251">
        <v>242</v>
      </c>
      <c r="D251">
        <v>1</v>
      </c>
      <c r="E251">
        <v>1</v>
      </c>
      <c r="F251" s="8">
        <f t="shared" si="20"/>
        <v>0.2577514792899408</v>
      </c>
      <c r="G251" s="8">
        <f t="shared" si="21"/>
        <v>1</v>
      </c>
    </row>
    <row r="252" spans="3:7" x14ac:dyDescent="0.25">
      <c r="C252">
        <v>243</v>
      </c>
      <c r="D252">
        <v>1</v>
      </c>
      <c r="E252">
        <v>1</v>
      </c>
      <c r="F252" s="8">
        <f t="shared" si="20"/>
        <v>0.2577514792899408</v>
      </c>
      <c r="G252" s="8">
        <f t="shared" si="21"/>
        <v>1</v>
      </c>
    </row>
    <row r="253" spans="3:7" x14ac:dyDescent="0.25">
      <c r="C253">
        <v>244</v>
      </c>
      <c r="D253">
        <v>1</v>
      </c>
      <c r="E253">
        <v>1</v>
      </c>
      <c r="F253" s="8">
        <f t="shared" si="20"/>
        <v>0.2577514792899408</v>
      </c>
      <c r="G253" s="8">
        <f t="shared" si="21"/>
        <v>1</v>
      </c>
    </row>
    <row r="254" spans="3:7" x14ac:dyDescent="0.25">
      <c r="C254">
        <v>245</v>
      </c>
      <c r="D254">
        <v>1</v>
      </c>
      <c r="E254">
        <v>1</v>
      </c>
      <c r="F254" s="8">
        <f t="shared" si="20"/>
        <v>0.2577514792899408</v>
      </c>
      <c r="G254" s="8">
        <f t="shared" si="21"/>
        <v>1</v>
      </c>
    </row>
    <row r="255" spans="3:7" x14ac:dyDescent="0.25">
      <c r="C255">
        <v>246</v>
      </c>
      <c r="D255">
        <v>1</v>
      </c>
      <c r="E255">
        <v>1</v>
      </c>
      <c r="F255" s="8">
        <f t="shared" si="20"/>
        <v>0.2577514792899408</v>
      </c>
      <c r="G255" s="8">
        <f t="shared" si="21"/>
        <v>1</v>
      </c>
    </row>
    <row r="256" spans="3:7" x14ac:dyDescent="0.25">
      <c r="C256">
        <v>247</v>
      </c>
      <c r="D256">
        <v>2</v>
      </c>
      <c r="E256">
        <v>1</v>
      </c>
      <c r="F256" s="8">
        <f t="shared" si="20"/>
        <v>0.24236686390532547</v>
      </c>
      <c r="G256" s="8">
        <f t="shared" si="21"/>
        <v>2</v>
      </c>
    </row>
    <row r="257" spans="3:7" x14ac:dyDescent="0.25">
      <c r="C257">
        <v>248</v>
      </c>
      <c r="D257">
        <v>1</v>
      </c>
      <c r="E257">
        <v>2</v>
      </c>
      <c r="F257" s="8" t="str">
        <f t="shared" si="20"/>
        <v/>
      </c>
      <c r="G257" s="8" t="str">
        <f t="shared" si="21"/>
        <v/>
      </c>
    </row>
    <row r="258" spans="3:7" x14ac:dyDescent="0.25">
      <c r="C258">
        <v>249</v>
      </c>
      <c r="D258">
        <v>1</v>
      </c>
      <c r="E258">
        <v>1</v>
      </c>
      <c r="F258" s="8">
        <f t="shared" si="20"/>
        <v>0.2577514792899408</v>
      </c>
      <c r="G258" s="8">
        <f t="shared" si="21"/>
        <v>1</v>
      </c>
    </row>
    <row r="259" spans="3:7" x14ac:dyDescent="0.25">
      <c r="C259">
        <v>250</v>
      </c>
      <c r="D259">
        <v>1</v>
      </c>
      <c r="E259">
        <v>1</v>
      </c>
      <c r="F259" s="8">
        <f t="shared" si="20"/>
        <v>0.2577514792899408</v>
      </c>
      <c r="G259" s="8">
        <f t="shared" si="21"/>
        <v>1</v>
      </c>
    </row>
    <row r="260" spans="3:7" x14ac:dyDescent="0.25">
      <c r="C260">
        <v>251</v>
      </c>
      <c r="D260">
        <v>1</v>
      </c>
      <c r="E260">
        <v>1</v>
      </c>
      <c r="F260" s="8">
        <f t="shared" si="20"/>
        <v>0.2577514792899408</v>
      </c>
      <c r="G260" s="8">
        <f t="shared" si="21"/>
        <v>1</v>
      </c>
    </row>
    <row r="261" spans="3:7" x14ac:dyDescent="0.25">
      <c r="C261">
        <v>252</v>
      </c>
      <c r="D261">
        <v>1</v>
      </c>
      <c r="E261">
        <v>1</v>
      </c>
      <c r="F261" s="8">
        <f t="shared" si="20"/>
        <v>0.2577514792899408</v>
      </c>
      <c r="G261" s="8">
        <f t="shared" si="21"/>
        <v>1</v>
      </c>
    </row>
    <row r="262" spans="3:7" x14ac:dyDescent="0.25">
      <c r="C262">
        <v>253</v>
      </c>
      <c r="D262">
        <v>5</v>
      </c>
      <c r="E262">
        <v>1</v>
      </c>
      <c r="F262" s="8">
        <f t="shared" si="20"/>
        <v>12.196213017751479</v>
      </c>
      <c r="G262" s="8">
        <f t="shared" si="21"/>
        <v>5</v>
      </c>
    </row>
    <row r="263" spans="3:7" x14ac:dyDescent="0.25">
      <c r="C263">
        <v>254</v>
      </c>
      <c r="D263">
        <v>1</v>
      </c>
      <c r="E263">
        <v>1</v>
      </c>
      <c r="F263" s="8">
        <f t="shared" si="20"/>
        <v>0.2577514792899408</v>
      </c>
      <c r="G263" s="8">
        <f t="shared" si="21"/>
        <v>1</v>
      </c>
    </row>
    <row r="264" spans="3:7" x14ac:dyDescent="0.25">
      <c r="C264">
        <v>255</v>
      </c>
      <c r="D264">
        <v>1</v>
      </c>
      <c r="E264">
        <v>1</v>
      </c>
      <c r="F264" s="8">
        <f t="shared" si="20"/>
        <v>0.2577514792899408</v>
      </c>
      <c r="G264" s="8">
        <f t="shared" si="21"/>
        <v>1</v>
      </c>
    </row>
    <row r="265" spans="3:7" x14ac:dyDescent="0.25">
      <c r="C265">
        <v>256</v>
      </c>
      <c r="D265">
        <v>1</v>
      </c>
      <c r="E265">
        <v>1</v>
      </c>
      <c r="F265" s="8">
        <f t="shared" si="20"/>
        <v>0.2577514792899408</v>
      </c>
      <c r="G265" s="8">
        <f t="shared" si="21"/>
        <v>1</v>
      </c>
    </row>
    <row r="266" spans="3:7" x14ac:dyDescent="0.25">
      <c r="C266">
        <v>257</v>
      </c>
      <c r="D266">
        <v>2</v>
      </c>
      <c r="E266">
        <v>1</v>
      </c>
      <c r="F266" s="8">
        <f t="shared" ref="F266:F308" si="24">IF(E266=1,(D266-$D$2)*(D266-$D$2),"")</f>
        <v>0.24236686390532547</v>
      </c>
      <c r="G266" s="8">
        <f t="shared" ref="G266:G308" si="25">IF(E266=1,D266,"")</f>
        <v>2</v>
      </c>
    </row>
    <row r="267" spans="3:7" x14ac:dyDescent="0.25">
      <c r="C267">
        <v>258</v>
      </c>
      <c r="D267">
        <v>1</v>
      </c>
      <c r="E267">
        <v>1</v>
      </c>
      <c r="F267" s="8">
        <f t="shared" si="24"/>
        <v>0.2577514792899408</v>
      </c>
      <c r="G267" s="8">
        <f t="shared" si="25"/>
        <v>1</v>
      </c>
    </row>
    <row r="268" spans="3:7" x14ac:dyDescent="0.25">
      <c r="C268">
        <v>259</v>
      </c>
      <c r="D268">
        <v>1</v>
      </c>
      <c r="E268">
        <v>1</v>
      </c>
      <c r="F268" s="8">
        <f t="shared" si="24"/>
        <v>0.2577514792899408</v>
      </c>
      <c r="G268" s="8">
        <f t="shared" si="25"/>
        <v>1</v>
      </c>
    </row>
    <row r="269" spans="3:7" x14ac:dyDescent="0.25">
      <c r="C269">
        <v>260</v>
      </c>
      <c r="D269">
        <v>1</v>
      </c>
      <c r="E269">
        <v>1</v>
      </c>
      <c r="F269" s="8">
        <f t="shared" si="24"/>
        <v>0.2577514792899408</v>
      </c>
      <c r="G269" s="8">
        <f t="shared" si="25"/>
        <v>1</v>
      </c>
    </row>
    <row r="270" spans="3:7" x14ac:dyDescent="0.25">
      <c r="C270">
        <v>261</v>
      </c>
      <c r="D270">
        <v>1</v>
      </c>
      <c r="E270">
        <v>1</v>
      </c>
      <c r="F270" s="8">
        <f t="shared" si="24"/>
        <v>0.2577514792899408</v>
      </c>
      <c r="G270" s="8">
        <f t="shared" si="25"/>
        <v>1</v>
      </c>
    </row>
    <row r="271" spans="3:7" x14ac:dyDescent="0.25">
      <c r="C271">
        <v>262</v>
      </c>
      <c r="D271">
        <v>11</v>
      </c>
      <c r="E271">
        <v>1</v>
      </c>
      <c r="F271" s="8">
        <f t="shared" si="24"/>
        <v>90.10390532544379</v>
      </c>
      <c r="G271" s="8">
        <f t="shared" si="25"/>
        <v>11</v>
      </c>
    </row>
    <row r="272" spans="3:7" x14ac:dyDescent="0.25">
      <c r="C272">
        <v>263</v>
      </c>
      <c r="D272">
        <v>1</v>
      </c>
      <c r="E272">
        <v>1</v>
      </c>
      <c r="F272" s="8">
        <f t="shared" si="24"/>
        <v>0.2577514792899408</v>
      </c>
      <c r="G272" s="8">
        <f t="shared" si="25"/>
        <v>1</v>
      </c>
    </row>
    <row r="273" spans="3:7" x14ac:dyDescent="0.25">
      <c r="C273">
        <v>264</v>
      </c>
      <c r="D273">
        <v>3</v>
      </c>
      <c r="E273">
        <v>1</v>
      </c>
      <c r="F273" s="8">
        <f t="shared" si="24"/>
        <v>2.2269822485207103</v>
      </c>
      <c r="G273" s="8">
        <f t="shared" si="25"/>
        <v>3</v>
      </c>
    </row>
    <row r="274" spans="3:7" x14ac:dyDescent="0.25">
      <c r="C274">
        <v>265</v>
      </c>
      <c r="D274">
        <v>1</v>
      </c>
      <c r="E274">
        <v>1</v>
      </c>
      <c r="F274" s="8">
        <f t="shared" si="24"/>
        <v>0.2577514792899408</v>
      </c>
      <c r="G274" s="8">
        <f t="shared" si="25"/>
        <v>1</v>
      </c>
    </row>
    <row r="275" spans="3:7" x14ac:dyDescent="0.25">
      <c r="C275">
        <v>266</v>
      </c>
      <c r="D275">
        <v>1</v>
      </c>
      <c r="E275">
        <v>1</v>
      </c>
      <c r="F275" s="8">
        <f t="shared" si="24"/>
        <v>0.2577514792899408</v>
      </c>
      <c r="G275" s="8">
        <f t="shared" si="25"/>
        <v>1</v>
      </c>
    </row>
    <row r="276" spans="3:7" x14ac:dyDescent="0.25">
      <c r="C276">
        <v>267</v>
      </c>
      <c r="D276">
        <v>2</v>
      </c>
      <c r="E276">
        <v>1</v>
      </c>
      <c r="F276" s="8">
        <f t="shared" si="24"/>
        <v>0.24236686390532547</v>
      </c>
      <c r="G276" s="8">
        <f t="shared" si="25"/>
        <v>2</v>
      </c>
    </row>
    <row r="277" spans="3:7" x14ac:dyDescent="0.25">
      <c r="C277">
        <v>268</v>
      </c>
      <c r="D277">
        <v>1</v>
      </c>
      <c r="E277">
        <v>1</v>
      </c>
      <c r="F277" s="8">
        <f t="shared" si="24"/>
        <v>0.2577514792899408</v>
      </c>
      <c r="G277" s="8">
        <f t="shared" si="25"/>
        <v>1</v>
      </c>
    </row>
    <row r="278" spans="3:7" x14ac:dyDescent="0.25">
      <c r="C278">
        <v>269</v>
      </c>
      <c r="D278">
        <v>1</v>
      </c>
      <c r="E278">
        <v>1</v>
      </c>
      <c r="F278" s="8">
        <f t="shared" si="24"/>
        <v>0.2577514792899408</v>
      </c>
      <c r="G278" s="8">
        <f t="shared" si="25"/>
        <v>1</v>
      </c>
    </row>
    <row r="279" spans="3:7" x14ac:dyDescent="0.25">
      <c r="C279">
        <v>270</v>
      </c>
      <c r="D279">
        <v>1</v>
      </c>
      <c r="E279">
        <v>1</v>
      </c>
      <c r="F279" s="8">
        <f t="shared" si="24"/>
        <v>0.2577514792899408</v>
      </c>
      <c r="G279" s="8">
        <f t="shared" si="25"/>
        <v>1</v>
      </c>
    </row>
    <row r="280" spans="3:7" x14ac:dyDescent="0.25">
      <c r="C280">
        <v>271</v>
      </c>
      <c r="D280">
        <v>1</v>
      </c>
      <c r="E280">
        <v>1</v>
      </c>
      <c r="F280" s="8">
        <f t="shared" si="24"/>
        <v>0.2577514792899408</v>
      </c>
      <c r="G280" s="8">
        <f t="shared" si="25"/>
        <v>1</v>
      </c>
    </row>
    <row r="281" spans="3:7" x14ac:dyDescent="0.25">
      <c r="C281">
        <v>272</v>
      </c>
      <c r="D281">
        <v>1</v>
      </c>
      <c r="E281">
        <v>1</v>
      </c>
      <c r="F281" s="8">
        <f t="shared" si="24"/>
        <v>0.2577514792899408</v>
      </c>
      <c r="G281" s="8">
        <f t="shared" si="25"/>
        <v>1</v>
      </c>
    </row>
    <row r="282" spans="3:7" x14ac:dyDescent="0.25">
      <c r="C282">
        <v>273</v>
      </c>
      <c r="D282">
        <v>1</v>
      </c>
      <c r="E282">
        <v>2</v>
      </c>
      <c r="F282" s="8" t="str">
        <f t="shared" si="24"/>
        <v/>
      </c>
      <c r="G282" s="8" t="str">
        <f t="shared" si="25"/>
        <v/>
      </c>
    </row>
    <row r="283" spans="3:7" x14ac:dyDescent="0.25">
      <c r="C283">
        <v>274</v>
      </c>
      <c r="D283">
        <v>1</v>
      </c>
      <c r="E283">
        <v>1</v>
      </c>
      <c r="F283" s="8">
        <f t="shared" si="24"/>
        <v>0.2577514792899408</v>
      </c>
      <c r="G283" s="8">
        <f t="shared" si="25"/>
        <v>1</v>
      </c>
    </row>
    <row r="284" spans="3:7" x14ac:dyDescent="0.25">
      <c r="C284">
        <v>275</v>
      </c>
      <c r="D284">
        <v>1</v>
      </c>
      <c r="E284">
        <v>1</v>
      </c>
      <c r="F284" s="8">
        <f t="shared" si="24"/>
        <v>0.2577514792899408</v>
      </c>
      <c r="G284" s="8">
        <f t="shared" si="25"/>
        <v>1</v>
      </c>
    </row>
    <row r="285" spans="3:7" x14ac:dyDescent="0.25">
      <c r="C285">
        <v>276</v>
      </c>
      <c r="D285">
        <v>2</v>
      </c>
      <c r="E285">
        <v>1</v>
      </c>
      <c r="F285" s="8">
        <f t="shared" si="24"/>
        <v>0.24236686390532547</v>
      </c>
      <c r="G285" s="8">
        <f t="shared" si="25"/>
        <v>2</v>
      </c>
    </row>
    <row r="286" spans="3:7" x14ac:dyDescent="0.25">
      <c r="C286">
        <v>277</v>
      </c>
      <c r="D286">
        <v>1</v>
      </c>
      <c r="E286">
        <v>1</v>
      </c>
      <c r="F286" s="8">
        <f t="shared" si="24"/>
        <v>0.2577514792899408</v>
      </c>
      <c r="G286" s="8">
        <f t="shared" si="25"/>
        <v>1</v>
      </c>
    </row>
    <row r="287" spans="3:7" x14ac:dyDescent="0.25">
      <c r="C287">
        <v>278</v>
      </c>
      <c r="D287">
        <v>1</v>
      </c>
      <c r="E287">
        <v>3</v>
      </c>
      <c r="F287" s="8" t="str">
        <f t="shared" si="24"/>
        <v/>
      </c>
      <c r="G287" s="8" t="str">
        <f t="shared" si="25"/>
        <v/>
      </c>
    </row>
    <row r="288" spans="3:7" x14ac:dyDescent="0.25">
      <c r="C288">
        <v>279</v>
      </c>
      <c r="D288">
        <v>1</v>
      </c>
      <c r="E288">
        <v>2</v>
      </c>
      <c r="F288" s="8" t="str">
        <f t="shared" si="24"/>
        <v/>
      </c>
      <c r="G288" s="8" t="str">
        <f t="shared" si="25"/>
        <v/>
      </c>
    </row>
    <row r="289" spans="3:7" x14ac:dyDescent="0.25">
      <c r="C289">
        <v>280</v>
      </c>
      <c r="D289">
        <v>1</v>
      </c>
      <c r="E289">
        <v>2</v>
      </c>
      <c r="F289" s="8" t="str">
        <f t="shared" si="24"/>
        <v/>
      </c>
      <c r="G289" s="8" t="str">
        <f t="shared" si="25"/>
        <v/>
      </c>
    </row>
    <row r="290" spans="3:7" x14ac:dyDescent="0.25">
      <c r="C290">
        <v>281</v>
      </c>
      <c r="D290">
        <v>1</v>
      </c>
      <c r="E290">
        <v>2</v>
      </c>
      <c r="F290" s="8" t="str">
        <f t="shared" si="24"/>
        <v/>
      </c>
      <c r="G290" s="8" t="str">
        <f t="shared" si="25"/>
        <v/>
      </c>
    </row>
    <row r="291" spans="3:7" x14ac:dyDescent="0.25">
      <c r="C291">
        <v>282</v>
      </c>
      <c r="D291">
        <v>2</v>
      </c>
      <c r="E291">
        <v>1</v>
      </c>
      <c r="F291" s="8">
        <f t="shared" si="24"/>
        <v>0.24236686390532547</v>
      </c>
      <c r="G291" s="8">
        <f t="shared" si="25"/>
        <v>2</v>
      </c>
    </row>
    <row r="292" spans="3:7" x14ac:dyDescent="0.25">
      <c r="C292">
        <v>283</v>
      </c>
      <c r="D292">
        <v>1</v>
      </c>
      <c r="E292">
        <v>1</v>
      </c>
      <c r="F292" s="8">
        <f t="shared" si="24"/>
        <v>0.2577514792899408</v>
      </c>
      <c r="G292" s="8">
        <f t="shared" si="25"/>
        <v>1</v>
      </c>
    </row>
    <row r="293" spans="3:7" x14ac:dyDescent="0.25">
      <c r="C293">
        <v>284</v>
      </c>
      <c r="D293">
        <v>1</v>
      </c>
      <c r="E293">
        <v>1</v>
      </c>
      <c r="F293" s="8">
        <f t="shared" si="24"/>
        <v>0.2577514792899408</v>
      </c>
      <c r="G293" s="8">
        <f t="shared" si="25"/>
        <v>1</v>
      </c>
    </row>
    <row r="294" spans="3:7" x14ac:dyDescent="0.25">
      <c r="C294">
        <v>285</v>
      </c>
      <c r="D294">
        <v>1</v>
      </c>
      <c r="E294">
        <v>1</v>
      </c>
      <c r="F294" s="8">
        <f t="shared" si="24"/>
        <v>0.2577514792899408</v>
      </c>
      <c r="G294" s="8">
        <f t="shared" si="25"/>
        <v>1</v>
      </c>
    </row>
    <row r="295" spans="3:7" x14ac:dyDescent="0.25">
      <c r="C295">
        <v>286</v>
      </c>
      <c r="D295">
        <v>1</v>
      </c>
      <c r="E295">
        <v>1</v>
      </c>
      <c r="F295" s="8">
        <f t="shared" si="24"/>
        <v>0.2577514792899408</v>
      </c>
      <c r="G295" s="8">
        <f t="shared" si="25"/>
        <v>1</v>
      </c>
    </row>
    <row r="296" spans="3:7" x14ac:dyDescent="0.25">
      <c r="C296">
        <v>287</v>
      </c>
      <c r="D296">
        <v>1</v>
      </c>
      <c r="E296">
        <v>1</v>
      </c>
      <c r="F296" s="8">
        <f t="shared" si="24"/>
        <v>0.2577514792899408</v>
      </c>
      <c r="G296" s="8">
        <f t="shared" si="25"/>
        <v>1</v>
      </c>
    </row>
    <row r="297" spans="3:7" x14ac:dyDescent="0.25">
      <c r="C297">
        <v>288</v>
      </c>
      <c r="D297">
        <v>1</v>
      </c>
      <c r="E297">
        <v>1</v>
      </c>
      <c r="F297" s="8">
        <f t="shared" si="24"/>
        <v>0.2577514792899408</v>
      </c>
      <c r="G297" s="8">
        <f t="shared" si="25"/>
        <v>1</v>
      </c>
    </row>
    <row r="298" spans="3:7" x14ac:dyDescent="0.25">
      <c r="C298">
        <v>289</v>
      </c>
      <c r="D298">
        <v>2</v>
      </c>
      <c r="E298">
        <v>1</v>
      </c>
      <c r="F298" s="8">
        <f t="shared" si="24"/>
        <v>0.24236686390532547</v>
      </c>
      <c r="G298" s="8">
        <f t="shared" si="25"/>
        <v>2</v>
      </c>
    </row>
    <row r="299" spans="3:7" x14ac:dyDescent="0.25">
      <c r="C299">
        <v>290</v>
      </c>
      <c r="D299">
        <v>1</v>
      </c>
      <c r="E299">
        <v>1</v>
      </c>
      <c r="F299" s="8">
        <f t="shared" si="24"/>
        <v>0.2577514792899408</v>
      </c>
      <c r="G299" s="8">
        <f t="shared" si="25"/>
        <v>1</v>
      </c>
    </row>
    <row r="300" spans="3:7" x14ac:dyDescent="0.25">
      <c r="C300">
        <v>291</v>
      </c>
      <c r="D300">
        <v>1</v>
      </c>
      <c r="E300">
        <v>1</v>
      </c>
      <c r="F300" s="8">
        <f t="shared" si="24"/>
        <v>0.2577514792899408</v>
      </c>
      <c r="G300" s="8">
        <f t="shared" si="25"/>
        <v>1</v>
      </c>
    </row>
    <row r="301" spans="3:7" x14ac:dyDescent="0.25">
      <c r="C301">
        <v>292</v>
      </c>
      <c r="D301">
        <v>1</v>
      </c>
      <c r="E301">
        <v>1</v>
      </c>
      <c r="F301" s="8">
        <f t="shared" si="24"/>
        <v>0.2577514792899408</v>
      </c>
      <c r="G301" s="8">
        <f t="shared" si="25"/>
        <v>1</v>
      </c>
    </row>
    <row r="302" spans="3:7" x14ac:dyDescent="0.25">
      <c r="C302">
        <v>293</v>
      </c>
      <c r="D302">
        <v>1</v>
      </c>
      <c r="E302">
        <v>2</v>
      </c>
      <c r="F302" s="8" t="str">
        <f t="shared" si="24"/>
        <v/>
      </c>
      <c r="G302" s="8" t="str">
        <f t="shared" si="25"/>
        <v/>
      </c>
    </row>
    <row r="303" spans="3:7" x14ac:dyDescent="0.25">
      <c r="C303">
        <v>294</v>
      </c>
      <c r="D303">
        <v>1</v>
      </c>
      <c r="E303">
        <v>2</v>
      </c>
      <c r="F303" s="8" t="str">
        <f t="shared" si="24"/>
        <v/>
      </c>
      <c r="G303" s="8" t="str">
        <f t="shared" si="25"/>
        <v/>
      </c>
    </row>
    <row r="304" spans="3:7" x14ac:dyDescent="0.25">
      <c r="C304">
        <v>295</v>
      </c>
      <c r="D304">
        <v>1</v>
      </c>
      <c r="E304">
        <v>1</v>
      </c>
      <c r="F304" s="8">
        <f t="shared" si="24"/>
        <v>0.2577514792899408</v>
      </c>
      <c r="G304" s="8">
        <f t="shared" si="25"/>
        <v>1</v>
      </c>
    </row>
    <row r="305" spans="3:7" x14ac:dyDescent="0.25">
      <c r="C305">
        <v>296</v>
      </c>
      <c r="D305">
        <v>4</v>
      </c>
      <c r="E305">
        <v>1</v>
      </c>
      <c r="F305" s="8">
        <f t="shared" si="24"/>
        <v>6.2115976331360949</v>
      </c>
      <c r="G305" s="8">
        <f t="shared" si="25"/>
        <v>4</v>
      </c>
    </row>
    <row r="306" spans="3:7" x14ac:dyDescent="0.25">
      <c r="C306">
        <v>297</v>
      </c>
      <c r="D306">
        <v>1</v>
      </c>
      <c r="E306">
        <v>1</v>
      </c>
      <c r="F306" s="8">
        <f t="shared" si="24"/>
        <v>0.2577514792899408</v>
      </c>
      <c r="G306" s="8">
        <f t="shared" si="25"/>
        <v>1</v>
      </c>
    </row>
    <row r="307" spans="3:7" x14ac:dyDescent="0.25">
      <c r="C307">
        <v>298</v>
      </c>
      <c r="D307">
        <v>1</v>
      </c>
      <c r="E307">
        <v>1</v>
      </c>
      <c r="F307" s="8">
        <f t="shared" si="24"/>
        <v>0.2577514792899408</v>
      </c>
      <c r="G307" s="8">
        <f t="shared" si="25"/>
        <v>1</v>
      </c>
    </row>
    <row r="308" spans="3:7" x14ac:dyDescent="0.25">
      <c r="C308">
        <v>299</v>
      </c>
      <c r="D308">
        <v>1</v>
      </c>
      <c r="E308">
        <v>1</v>
      </c>
      <c r="F308" s="8">
        <f t="shared" si="24"/>
        <v>0.2577514792899408</v>
      </c>
      <c r="G308" s="8">
        <f t="shared" si="25"/>
        <v>1</v>
      </c>
    </row>
  </sheetData>
  <mergeCells count="6">
    <mergeCell ref="AA7:AC7"/>
    <mergeCell ref="A1:B7"/>
    <mergeCell ref="C7:E7"/>
    <mergeCell ref="I7:K7"/>
    <mergeCell ref="O7:Q7"/>
    <mergeCell ref="U7:W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7FF-6A95-4AAD-88D9-03989DD6A4F5}">
  <dimension ref="A2:AE308"/>
  <sheetViews>
    <sheetView zoomScaleNormal="100" workbookViewId="0">
      <selection activeCell="V3" sqref="V3"/>
    </sheetView>
  </sheetViews>
  <sheetFormatPr defaultColWidth="9.140625" defaultRowHeight="15" x14ac:dyDescent="0.25"/>
  <cols>
    <col min="4" max="5" width="5.5703125" customWidth="1"/>
    <col min="6" max="7" width="5.5703125" hidden="1" customWidth="1"/>
    <col min="8" max="11" width="5.5703125" customWidth="1"/>
    <col min="12" max="13" width="5.5703125" hidden="1" customWidth="1"/>
    <col min="14" max="15" width="5.5703125" customWidth="1"/>
    <col min="16" max="16" width="6.140625" bestFit="1" customWidth="1"/>
    <col min="17" max="17" width="5.5703125" customWidth="1"/>
    <col min="18" max="19" width="5.5703125" hidden="1" customWidth="1"/>
    <col min="20" max="23" width="5.5703125" customWidth="1"/>
    <col min="24" max="25" width="5.5703125" hidden="1" customWidth="1"/>
    <col min="26" max="29" width="5.5703125" customWidth="1"/>
    <col min="30" max="31" width="9.140625" hidden="1" customWidth="1"/>
  </cols>
  <sheetData>
    <row r="2" spans="1:31" x14ac:dyDescent="0.25">
      <c r="C2" t="s">
        <v>11</v>
      </c>
      <c r="D2" s="10">
        <f>SUMIF(E9:E308,1,D9:D308)/COUNTIF(E9:E308,1)</f>
        <v>1.4942084942084941</v>
      </c>
      <c r="J2" s="11">
        <f>SUMIF(K9:K234,2,J9:J234)/COUNTIF(K9:K234,2)</f>
        <v>34</v>
      </c>
      <c r="P2" s="11">
        <f>SUMIF(Q9:Q130,3,P9:P130)/COUNTIF(Q9:Q130,3)</f>
        <v>36.205479452054796</v>
      </c>
      <c r="V2" s="11">
        <f>SUMIF(W9:W58,4,V9:V58)/COUNTIF(W9:W58,4)</f>
        <v>32.117647058823529</v>
      </c>
      <c r="AB2" s="11">
        <f>SUMIF(AC9:AC43,5,AB9:AB43)/COUNTIF(AC9:AC43,5)</f>
        <v>24.514285714285716</v>
      </c>
    </row>
    <row r="3" spans="1:31" x14ac:dyDescent="0.25">
      <c r="C3" t="s">
        <v>12</v>
      </c>
      <c r="D3" s="10">
        <f>SUM(F9:F308)/COUNT(F9:F308)</f>
        <v>1.9410861495803717</v>
      </c>
      <c r="J3" s="10">
        <f>SUM(L9:L234)/COUNT(L9:L234)</f>
        <v>1417.1935483870968</v>
      </c>
      <c r="P3" s="10">
        <f>SUM(R9:R130)/COUNT(R9:R130)</f>
        <v>2168.980794635313</v>
      </c>
      <c r="V3" s="10">
        <f>SUM(X9:X58)/COUNT(X9:X58)</f>
        <v>2045.1929133961839</v>
      </c>
      <c r="AB3" s="10">
        <f>SUM(AD9:AD43)/COUNT(AD9:AD43)</f>
        <v>1070.2880368509711</v>
      </c>
    </row>
    <row r="4" spans="1:31" x14ac:dyDescent="0.25">
      <c r="C4" t="s">
        <v>13</v>
      </c>
      <c r="D4">
        <f>MEDIAN(G9:G308)</f>
        <v>1</v>
      </c>
      <c r="J4">
        <f>MEDIAN(M9:M234)</f>
        <v>21.5</v>
      </c>
      <c r="P4">
        <f>MEDIAN(S9:S130)</f>
        <v>29</v>
      </c>
      <c r="V4">
        <f>MEDIAN(Y9:Y58)</f>
        <v>23</v>
      </c>
      <c r="AB4">
        <f>MEDIAN(AE9:AE43)</f>
        <v>15</v>
      </c>
    </row>
    <row r="5" spans="1:31" x14ac:dyDescent="0.25">
      <c r="C5" t="s">
        <v>21</v>
      </c>
      <c r="D5">
        <f>COUNTIF(E9:E308,1)</f>
        <v>259</v>
      </c>
      <c r="J5">
        <f>COUNTIF(K9:K234,2)</f>
        <v>124</v>
      </c>
      <c r="P5">
        <f>COUNTIF(Q9:Q130,3)</f>
        <v>73</v>
      </c>
      <c r="V5">
        <f>COUNTIF(W9:W58,4)</f>
        <v>17</v>
      </c>
      <c r="AB5">
        <f>COUNTIF(AC9:AC43,5)</f>
        <v>35</v>
      </c>
    </row>
    <row r="7" spans="1:31" x14ac:dyDescent="0.25">
      <c r="C7" s="48" t="s">
        <v>4</v>
      </c>
      <c r="D7" s="48"/>
      <c r="E7" s="48"/>
      <c r="F7" s="4"/>
      <c r="G7" s="4"/>
      <c r="I7" s="48" t="s">
        <v>5</v>
      </c>
      <c r="J7" s="48"/>
      <c r="K7" s="48"/>
      <c r="L7" s="4"/>
      <c r="M7" s="4"/>
      <c r="O7" s="48" t="s">
        <v>6</v>
      </c>
      <c r="P7" s="48"/>
      <c r="Q7" s="48"/>
      <c r="R7" s="4"/>
      <c r="S7" s="4"/>
      <c r="U7" s="48" t="s">
        <v>8</v>
      </c>
      <c r="V7" s="48"/>
      <c r="W7" s="48"/>
      <c r="X7" s="4"/>
      <c r="Y7" s="4"/>
      <c r="AA7" s="48" t="s">
        <v>7</v>
      </c>
      <c r="AB7" s="48"/>
      <c r="AC7" s="48"/>
    </row>
    <row r="8" spans="1:31" s="12" customFormat="1" ht="60" x14ac:dyDescent="0.25">
      <c r="A8" s="46" t="s">
        <v>9</v>
      </c>
      <c r="B8" s="47"/>
      <c r="C8" s="12" t="s">
        <v>1</v>
      </c>
      <c r="D8" s="12" t="s">
        <v>3</v>
      </c>
      <c r="E8" s="12" t="s">
        <v>2</v>
      </c>
      <c r="F8" s="12" t="s">
        <v>12</v>
      </c>
      <c r="G8" s="12" t="s">
        <v>13</v>
      </c>
      <c r="I8" s="12" t="s">
        <v>1</v>
      </c>
      <c r="J8" s="12" t="s">
        <v>3</v>
      </c>
      <c r="K8" s="12" t="s">
        <v>2</v>
      </c>
      <c r="L8" s="12" t="s">
        <v>12</v>
      </c>
      <c r="M8" s="12" t="s">
        <v>13</v>
      </c>
      <c r="O8" s="12" t="s">
        <v>1</v>
      </c>
      <c r="P8" s="12" t="s">
        <v>3</v>
      </c>
      <c r="Q8" s="12" t="s">
        <v>2</v>
      </c>
      <c r="R8" s="12" t="s">
        <v>12</v>
      </c>
      <c r="S8" s="12" t="s">
        <v>13</v>
      </c>
      <c r="U8" s="12" t="s">
        <v>1</v>
      </c>
      <c r="V8" s="12" t="s">
        <v>3</v>
      </c>
      <c r="W8" s="12" t="s">
        <v>2</v>
      </c>
      <c r="X8" s="12" t="s">
        <v>12</v>
      </c>
      <c r="Y8" s="12" t="s">
        <v>13</v>
      </c>
      <c r="AA8" s="12" t="s">
        <v>1</v>
      </c>
      <c r="AB8" s="12" t="s">
        <v>3</v>
      </c>
      <c r="AC8" s="12" t="s">
        <v>2</v>
      </c>
      <c r="AD8" s="12" t="s">
        <v>12</v>
      </c>
      <c r="AE8" s="12" t="s">
        <v>13</v>
      </c>
    </row>
    <row r="9" spans="1:31" x14ac:dyDescent="0.25">
      <c r="A9" s="47"/>
      <c r="B9" s="47"/>
      <c r="C9" s="8">
        <v>0</v>
      </c>
      <c r="D9" s="8">
        <v>1</v>
      </c>
      <c r="E9" s="8">
        <v>1</v>
      </c>
      <c r="F9" s="8">
        <f>IF(E9=1,(D9-$D$2)*(D9-$D$2),"")</f>
        <v>0.24424203574782716</v>
      </c>
      <c r="G9" s="8">
        <f>IF(E9=1,D9,"")</f>
        <v>1</v>
      </c>
      <c r="I9" s="9">
        <v>0</v>
      </c>
      <c r="J9" s="9">
        <v>59</v>
      </c>
      <c r="K9" s="9">
        <v>3</v>
      </c>
      <c r="L9" s="8" t="str">
        <f>IF(K9=2,(J9-$J$2)*(J9-$J$2),"")</f>
        <v/>
      </c>
      <c r="M9" s="8" t="str">
        <f>IF(K9=2,J9,"")</f>
        <v/>
      </c>
      <c r="O9" s="9">
        <v>0</v>
      </c>
      <c r="P9" s="9">
        <v>59</v>
      </c>
      <c r="Q9" s="9">
        <v>3</v>
      </c>
      <c r="R9" s="8">
        <f>IF(Q9=3,(P9-$D$2)*(P9-$D$2),"")</f>
        <v>3306.9160567075628</v>
      </c>
      <c r="S9" s="8">
        <f>IF(Q9=3,P9,"")</f>
        <v>59</v>
      </c>
      <c r="U9" s="9">
        <v>9</v>
      </c>
      <c r="V9" s="9">
        <v>5</v>
      </c>
      <c r="W9" s="9">
        <v>5</v>
      </c>
      <c r="X9" s="8" t="str">
        <f>IF(W9=4,(V9-$D$2)*(V9-$D$2),"")</f>
        <v/>
      </c>
      <c r="Y9" s="8" t="str">
        <f>IF(W9=4,V9,"")</f>
        <v/>
      </c>
      <c r="AA9" s="9">
        <v>9</v>
      </c>
      <c r="AB9" s="9">
        <v>5</v>
      </c>
      <c r="AC9" s="9">
        <v>5</v>
      </c>
      <c r="AD9" s="8">
        <f>IF(AC9=5,(AB9-$D$2)*(AB9-$D$2),"")</f>
        <v>12.290574082079875</v>
      </c>
      <c r="AE9" s="8">
        <f>IF(AC9=5,AB9,"")</f>
        <v>5</v>
      </c>
    </row>
    <row r="10" spans="1:31" x14ac:dyDescent="0.25">
      <c r="C10" s="8">
        <v>1</v>
      </c>
      <c r="D10" s="8">
        <v>1</v>
      </c>
      <c r="E10" s="8">
        <v>2</v>
      </c>
      <c r="F10" s="8" t="str">
        <f t="shared" ref="F10:F73" si="0">IF(E10=1,(D10-$D$2)*(D10-$D$2),"")</f>
        <v/>
      </c>
      <c r="G10" s="8" t="str">
        <f t="shared" ref="G10:G73" si="1">IF(E10=1,D10,"")</f>
        <v/>
      </c>
      <c r="I10" s="9">
        <v>1</v>
      </c>
      <c r="J10" s="9">
        <v>1</v>
      </c>
      <c r="K10" s="9">
        <v>2</v>
      </c>
      <c r="L10" s="8">
        <f t="shared" ref="L10:L73" si="2">IF(K10=2,(J10-$J$2)*(J10-$J$2),"")</f>
        <v>1089</v>
      </c>
      <c r="M10" s="8">
        <f t="shared" ref="M10:M73" si="3">IF(K10=2,J10,"")</f>
        <v>1</v>
      </c>
      <c r="O10" s="9">
        <v>5</v>
      </c>
      <c r="P10" s="9">
        <v>30</v>
      </c>
      <c r="Q10" s="9">
        <v>3</v>
      </c>
      <c r="R10" s="8">
        <f t="shared" ref="R10:R73" si="4">IF(Q10=3,(P10-$D$2)*(P10-$D$2),"")</f>
        <v>812.58014937165524</v>
      </c>
      <c r="S10" s="8">
        <f t="shared" ref="S10:S73" si="5">IF(Q10=3,P10,"")</f>
        <v>30</v>
      </c>
      <c r="U10" s="9">
        <v>11</v>
      </c>
      <c r="V10" s="9">
        <v>34</v>
      </c>
      <c r="W10" s="9">
        <v>5</v>
      </c>
      <c r="X10" s="8" t="str">
        <f t="shared" ref="X10:X58" si="6">IF(W10=4,(V10-$D$2)*(V10-$D$2),"")</f>
        <v/>
      </c>
      <c r="Y10" s="8" t="str">
        <f t="shared" ref="Y10:Y58" si="7">IF(W10=4,V10,"")</f>
        <v/>
      </c>
      <c r="AA10" s="9">
        <v>11</v>
      </c>
      <c r="AB10" s="9">
        <v>34</v>
      </c>
      <c r="AC10" s="9">
        <v>5</v>
      </c>
      <c r="AD10" s="8">
        <f t="shared" ref="AD10:AD43" si="8">IF(AC10=5,(AB10-$D$2)*(AB10-$D$2),"")</f>
        <v>1056.6264814179872</v>
      </c>
      <c r="AE10" s="8">
        <f t="shared" ref="AE10:AE43" si="9">IF(AC10=5,AB10,"")</f>
        <v>34</v>
      </c>
    </row>
    <row r="11" spans="1:31" x14ac:dyDescent="0.25">
      <c r="C11" s="8">
        <v>2</v>
      </c>
      <c r="D11" s="8">
        <v>1</v>
      </c>
      <c r="E11" s="8">
        <v>1</v>
      </c>
      <c r="F11" s="8">
        <f t="shared" si="0"/>
        <v>0.24424203574782716</v>
      </c>
      <c r="G11" s="8">
        <f t="shared" si="1"/>
        <v>1</v>
      </c>
      <c r="I11" s="9">
        <v>2</v>
      </c>
      <c r="J11" s="9">
        <v>40</v>
      </c>
      <c r="K11" s="9">
        <v>2</v>
      </c>
      <c r="L11" s="8">
        <f t="shared" si="2"/>
        <v>36</v>
      </c>
      <c r="M11" s="8">
        <f t="shared" si="3"/>
        <v>40</v>
      </c>
      <c r="O11" s="9">
        <v>9</v>
      </c>
      <c r="P11" s="9">
        <v>5</v>
      </c>
      <c r="Q11" s="9">
        <v>5</v>
      </c>
      <c r="R11" s="8" t="str">
        <f t="shared" si="4"/>
        <v/>
      </c>
      <c r="S11" s="8" t="str">
        <f t="shared" si="5"/>
        <v/>
      </c>
      <c r="U11" s="9">
        <v>12</v>
      </c>
      <c r="V11" s="9">
        <v>40</v>
      </c>
      <c r="W11" s="9">
        <v>5</v>
      </c>
      <c r="X11" s="8" t="str">
        <f t="shared" si="6"/>
        <v/>
      </c>
      <c r="Y11" s="8" t="str">
        <f t="shared" si="7"/>
        <v/>
      </c>
      <c r="AA11" s="9">
        <v>12</v>
      </c>
      <c r="AB11" s="9">
        <v>40</v>
      </c>
      <c r="AC11" s="9">
        <v>5</v>
      </c>
      <c r="AD11" s="8">
        <f t="shared" si="8"/>
        <v>1482.6959794874854</v>
      </c>
      <c r="AE11" s="8">
        <f t="shared" si="9"/>
        <v>40</v>
      </c>
    </row>
    <row r="12" spans="1:31" x14ac:dyDescent="0.25">
      <c r="C12" s="8">
        <v>3</v>
      </c>
      <c r="D12" s="8">
        <v>1</v>
      </c>
      <c r="E12" s="8">
        <v>1</v>
      </c>
      <c r="F12" s="8">
        <f t="shared" si="0"/>
        <v>0.24424203574782716</v>
      </c>
      <c r="G12" s="8">
        <f t="shared" si="1"/>
        <v>1</v>
      </c>
      <c r="I12" s="9">
        <v>4</v>
      </c>
      <c r="J12" s="9">
        <v>108</v>
      </c>
      <c r="K12" s="9">
        <v>2</v>
      </c>
      <c r="L12" s="8">
        <f t="shared" si="2"/>
        <v>5476</v>
      </c>
      <c r="M12" s="8">
        <f t="shared" si="3"/>
        <v>108</v>
      </c>
      <c r="O12" s="9">
        <v>11</v>
      </c>
      <c r="P12" s="9">
        <v>34</v>
      </c>
      <c r="Q12" s="9">
        <v>5</v>
      </c>
      <c r="R12" s="8" t="str">
        <f t="shared" si="4"/>
        <v/>
      </c>
      <c r="S12" s="8" t="str">
        <f t="shared" si="5"/>
        <v/>
      </c>
      <c r="U12" s="9">
        <v>15</v>
      </c>
      <c r="V12" s="9">
        <v>7</v>
      </c>
      <c r="W12" s="9">
        <v>5</v>
      </c>
      <c r="X12" s="8" t="str">
        <f t="shared" si="6"/>
        <v/>
      </c>
      <c r="Y12" s="8" t="str">
        <f t="shared" si="7"/>
        <v/>
      </c>
      <c r="AA12" s="9">
        <v>15</v>
      </c>
      <c r="AB12" s="9">
        <v>7</v>
      </c>
      <c r="AC12" s="9">
        <v>5</v>
      </c>
      <c r="AD12" s="8">
        <f t="shared" si="8"/>
        <v>30.313740105245898</v>
      </c>
      <c r="AE12" s="8">
        <f t="shared" si="9"/>
        <v>7</v>
      </c>
    </row>
    <row r="13" spans="1:31" x14ac:dyDescent="0.25">
      <c r="C13" s="8">
        <v>4</v>
      </c>
      <c r="D13" s="8">
        <v>1</v>
      </c>
      <c r="E13" s="8">
        <v>1</v>
      </c>
      <c r="F13" s="8">
        <f t="shared" si="0"/>
        <v>0.24424203574782716</v>
      </c>
      <c r="G13" s="8">
        <f t="shared" si="1"/>
        <v>1</v>
      </c>
      <c r="I13" s="9">
        <v>5</v>
      </c>
      <c r="J13" s="9">
        <v>30</v>
      </c>
      <c r="K13" s="9">
        <v>3</v>
      </c>
      <c r="L13" s="8" t="str">
        <f t="shared" si="2"/>
        <v/>
      </c>
      <c r="M13" s="8" t="str">
        <f t="shared" si="3"/>
        <v/>
      </c>
      <c r="O13" s="9">
        <v>12</v>
      </c>
      <c r="P13" s="9">
        <v>40</v>
      </c>
      <c r="Q13" s="9">
        <v>5</v>
      </c>
      <c r="R13" s="8" t="str">
        <f t="shared" si="4"/>
        <v/>
      </c>
      <c r="S13" s="8" t="str">
        <f t="shared" si="5"/>
        <v/>
      </c>
      <c r="U13" s="9">
        <v>20</v>
      </c>
      <c r="V13" s="9">
        <v>6</v>
      </c>
      <c r="W13" s="9">
        <v>4</v>
      </c>
      <c r="X13" s="8">
        <f t="shared" si="6"/>
        <v>20.302157093662885</v>
      </c>
      <c r="Y13" s="8">
        <f t="shared" si="7"/>
        <v>6</v>
      </c>
      <c r="AA13" s="9">
        <v>25</v>
      </c>
      <c r="AB13" s="9">
        <v>15</v>
      </c>
      <c r="AC13" s="9">
        <v>5</v>
      </c>
      <c r="AD13" s="8">
        <f t="shared" si="8"/>
        <v>182.40640419791001</v>
      </c>
      <c r="AE13" s="8">
        <f t="shared" si="9"/>
        <v>15</v>
      </c>
    </row>
    <row r="14" spans="1:31" x14ac:dyDescent="0.25">
      <c r="C14" s="8">
        <v>5</v>
      </c>
      <c r="D14" s="8">
        <v>1</v>
      </c>
      <c r="E14" s="8">
        <v>1</v>
      </c>
      <c r="F14" s="8">
        <f t="shared" si="0"/>
        <v>0.24424203574782716</v>
      </c>
      <c r="G14" s="8">
        <f t="shared" si="1"/>
        <v>1</v>
      </c>
      <c r="I14" s="9">
        <v>6</v>
      </c>
      <c r="J14" s="9">
        <v>129</v>
      </c>
      <c r="K14" s="9">
        <v>2</v>
      </c>
      <c r="L14" s="8">
        <f t="shared" si="2"/>
        <v>9025</v>
      </c>
      <c r="M14" s="8">
        <f t="shared" si="3"/>
        <v>129</v>
      </c>
      <c r="O14" s="9">
        <v>15</v>
      </c>
      <c r="P14" s="9">
        <v>7</v>
      </c>
      <c r="Q14" s="9">
        <v>5</v>
      </c>
      <c r="R14" s="8" t="str">
        <f t="shared" si="4"/>
        <v/>
      </c>
      <c r="S14" s="8" t="str">
        <f t="shared" si="5"/>
        <v/>
      </c>
      <c r="U14" s="9">
        <v>23</v>
      </c>
      <c r="V14" s="9">
        <v>23</v>
      </c>
      <c r="W14" s="9">
        <v>4</v>
      </c>
      <c r="X14" s="8">
        <f t="shared" si="6"/>
        <v>462.49906829057414</v>
      </c>
      <c r="Y14" s="8">
        <f t="shared" si="7"/>
        <v>23</v>
      </c>
      <c r="AA14" s="9">
        <v>28</v>
      </c>
      <c r="AB14" s="9">
        <v>3</v>
      </c>
      <c r="AC14" s="9">
        <v>5</v>
      </c>
      <c r="AD14" s="8">
        <f t="shared" si="8"/>
        <v>2.2674080589138508</v>
      </c>
      <c r="AE14" s="8">
        <f t="shared" si="9"/>
        <v>3</v>
      </c>
    </row>
    <row r="15" spans="1:31" x14ac:dyDescent="0.25">
      <c r="C15" s="8">
        <v>6</v>
      </c>
      <c r="D15" s="8">
        <v>5</v>
      </c>
      <c r="E15" s="8">
        <v>1</v>
      </c>
      <c r="F15" s="8">
        <f t="shared" si="0"/>
        <v>12.290574082079875</v>
      </c>
      <c r="G15" s="8">
        <f t="shared" si="1"/>
        <v>5</v>
      </c>
      <c r="I15" s="9">
        <v>7</v>
      </c>
      <c r="J15" s="9">
        <v>14</v>
      </c>
      <c r="K15" s="9">
        <v>2</v>
      </c>
      <c r="L15" s="8">
        <f t="shared" si="2"/>
        <v>400</v>
      </c>
      <c r="M15" s="8">
        <f t="shared" si="3"/>
        <v>14</v>
      </c>
      <c r="O15" s="9">
        <v>20</v>
      </c>
      <c r="P15" s="9">
        <v>6</v>
      </c>
      <c r="Q15" s="9">
        <v>4</v>
      </c>
      <c r="R15" s="8" t="str">
        <f t="shared" si="4"/>
        <v/>
      </c>
      <c r="S15" s="8" t="str">
        <f t="shared" si="5"/>
        <v/>
      </c>
      <c r="U15" s="9">
        <v>25</v>
      </c>
      <c r="V15" s="9">
        <v>15</v>
      </c>
      <c r="W15" s="9">
        <v>5</v>
      </c>
      <c r="X15" s="8" t="str">
        <f t="shared" si="6"/>
        <v/>
      </c>
      <c r="Y15" s="8" t="str">
        <f t="shared" si="7"/>
        <v/>
      </c>
      <c r="AA15" s="9">
        <v>32</v>
      </c>
      <c r="AB15" s="9">
        <v>14</v>
      </c>
      <c r="AC15" s="9">
        <v>5</v>
      </c>
      <c r="AD15" s="8">
        <f t="shared" si="8"/>
        <v>156.39482118632699</v>
      </c>
      <c r="AE15" s="8">
        <f t="shared" si="9"/>
        <v>14</v>
      </c>
    </row>
    <row r="16" spans="1:31" x14ac:dyDescent="0.25">
      <c r="C16" s="8">
        <v>7</v>
      </c>
      <c r="D16" s="8">
        <v>1</v>
      </c>
      <c r="E16" s="8">
        <v>1</v>
      </c>
      <c r="F16" s="8">
        <f t="shared" si="0"/>
        <v>0.24424203574782716</v>
      </c>
      <c r="G16" s="8">
        <f t="shared" si="1"/>
        <v>1</v>
      </c>
      <c r="I16" s="9">
        <v>9</v>
      </c>
      <c r="J16" s="9">
        <v>5</v>
      </c>
      <c r="K16" s="9">
        <v>5</v>
      </c>
      <c r="L16" s="8" t="str">
        <f t="shared" si="2"/>
        <v/>
      </c>
      <c r="M16" s="8" t="str">
        <f t="shared" si="3"/>
        <v/>
      </c>
      <c r="O16" s="9">
        <v>21</v>
      </c>
      <c r="P16" s="9">
        <v>42</v>
      </c>
      <c r="Q16" s="9">
        <v>3</v>
      </c>
      <c r="R16" s="8">
        <f t="shared" si="4"/>
        <v>1640.7191455106513</v>
      </c>
      <c r="S16" s="8">
        <f t="shared" si="5"/>
        <v>42</v>
      </c>
      <c r="U16" s="9">
        <v>27</v>
      </c>
      <c r="V16" s="9">
        <v>30</v>
      </c>
      <c r="W16" s="9">
        <v>4</v>
      </c>
      <c r="X16" s="8">
        <f t="shared" si="6"/>
        <v>812.58014937165524</v>
      </c>
      <c r="Y16" s="8">
        <f t="shared" si="7"/>
        <v>30</v>
      </c>
      <c r="AA16" s="9">
        <v>34</v>
      </c>
      <c r="AB16" s="9">
        <v>6</v>
      </c>
      <c r="AC16" s="9">
        <v>5</v>
      </c>
      <c r="AD16" s="8">
        <f t="shared" si="8"/>
        <v>20.302157093662885</v>
      </c>
      <c r="AE16" s="8">
        <f t="shared" si="9"/>
        <v>6</v>
      </c>
    </row>
    <row r="17" spans="3:31" x14ac:dyDescent="0.25">
      <c r="C17" s="8">
        <v>8</v>
      </c>
      <c r="D17" s="8">
        <v>2</v>
      </c>
      <c r="E17" s="8">
        <v>1</v>
      </c>
      <c r="F17" s="8">
        <f t="shared" si="0"/>
        <v>0.25582504733083894</v>
      </c>
      <c r="G17" s="8">
        <f t="shared" si="1"/>
        <v>2</v>
      </c>
      <c r="I17" s="9">
        <v>10</v>
      </c>
      <c r="J17" s="9">
        <v>29</v>
      </c>
      <c r="K17" s="9">
        <v>2</v>
      </c>
      <c r="L17" s="8">
        <f t="shared" si="2"/>
        <v>25</v>
      </c>
      <c r="M17" s="8">
        <f t="shared" si="3"/>
        <v>29</v>
      </c>
      <c r="O17" s="9">
        <v>23</v>
      </c>
      <c r="P17" s="9">
        <v>23</v>
      </c>
      <c r="Q17" s="9">
        <v>4</v>
      </c>
      <c r="R17" s="8" t="str">
        <f t="shared" si="4"/>
        <v/>
      </c>
      <c r="S17" s="8" t="str">
        <f t="shared" si="5"/>
        <v/>
      </c>
      <c r="U17" s="9">
        <v>28</v>
      </c>
      <c r="V17" s="9">
        <v>3</v>
      </c>
      <c r="W17" s="9">
        <v>5</v>
      </c>
      <c r="X17" s="8" t="str">
        <f t="shared" si="6"/>
        <v/>
      </c>
      <c r="Y17" s="8" t="str">
        <f t="shared" si="7"/>
        <v/>
      </c>
      <c r="AA17" s="9">
        <v>44</v>
      </c>
      <c r="AB17" s="9">
        <v>47</v>
      </c>
      <c r="AC17">
        <v>5</v>
      </c>
      <c r="AD17" s="8">
        <f t="shared" si="8"/>
        <v>2070.7770605685664</v>
      </c>
      <c r="AE17" s="8">
        <f t="shared" si="9"/>
        <v>47</v>
      </c>
    </row>
    <row r="18" spans="3:31" x14ac:dyDescent="0.25">
      <c r="C18" s="8">
        <v>9</v>
      </c>
      <c r="D18" s="8">
        <v>1</v>
      </c>
      <c r="E18" s="8">
        <v>1</v>
      </c>
      <c r="F18" s="8">
        <f t="shared" si="0"/>
        <v>0.24424203574782716</v>
      </c>
      <c r="G18" s="8">
        <f t="shared" si="1"/>
        <v>1</v>
      </c>
      <c r="I18" s="9">
        <v>11</v>
      </c>
      <c r="J18" s="9">
        <v>34</v>
      </c>
      <c r="K18" s="9">
        <v>5</v>
      </c>
      <c r="L18" s="8" t="str">
        <f t="shared" si="2"/>
        <v/>
      </c>
      <c r="M18" s="8" t="str">
        <f t="shared" si="3"/>
        <v/>
      </c>
      <c r="O18" s="9">
        <v>25</v>
      </c>
      <c r="P18" s="9">
        <v>15</v>
      </c>
      <c r="Q18" s="9">
        <v>5</v>
      </c>
      <c r="R18" s="8" t="str">
        <f t="shared" si="4"/>
        <v/>
      </c>
      <c r="S18" s="8" t="str">
        <f t="shared" si="5"/>
        <v/>
      </c>
      <c r="U18" s="9">
        <v>32</v>
      </c>
      <c r="V18" s="9">
        <v>14</v>
      </c>
      <c r="W18" s="9">
        <v>5</v>
      </c>
      <c r="X18" s="8" t="str">
        <f t="shared" si="6"/>
        <v/>
      </c>
      <c r="Y18" s="8" t="str">
        <f t="shared" si="7"/>
        <v/>
      </c>
      <c r="AA18" s="9">
        <v>53</v>
      </c>
      <c r="AB18" s="9">
        <v>17</v>
      </c>
      <c r="AC18">
        <v>5</v>
      </c>
      <c r="AD18" s="8">
        <f t="shared" si="8"/>
        <v>240.42957022107603</v>
      </c>
      <c r="AE18" s="8">
        <f t="shared" si="9"/>
        <v>17</v>
      </c>
    </row>
    <row r="19" spans="3:31" x14ac:dyDescent="0.25">
      <c r="C19" s="8">
        <v>10</v>
      </c>
      <c r="D19" s="8">
        <v>2</v>
      </c>
      <c r="E19" s="8">
        <v>1</v>
      </c>
      <c r="F19" s="8">
        <f t="shared" si="0"/>
        <v>0.25582504733083894</v>
      </c>
      <c r="G19" s="8">
        <f t="shared" si="1"/>
        <v>2</v>
      </c>
      <c r="I19" s="9">
        <v>12</v>
      </c>
      <c r="J19" s="9">
        <v>40</v>
      </c>
      <c r="K19" s="9">
        <v>5</v>
      </c>
      <c r="L19" s="8" t="str">
        <f t="shared" si="2"/>
        <v/>
      </c>
      <c r="M19" s="8" t="str">
        <f t="shared" si="3"/>
        <v/>
      </c>
      <c r="O19" s="9">
        <v>26</v>
      </c>
      <c r="P19" s="9">
        <v>33</v>
      </c>
      <c r="Q19" s="9">
        <v>3</v>
      </c>
      <c r="R19" s="8">
        <f t="shared" si="4"/>
        <v>992.61489840640422</v>
      </c>
      <c r="S19" s="8">
        <f t="shared" si="5"/>
        <v>33</v>
      </c>
      <c r="U19" s="9">
        <v>34</v>
      </c>
      <c r="V19" s="9">
        <v>6</v>
      </c>
      <c r="W19" s="9">
        <v>5</v>
      </c>
      <c r="X19" s="8" t="str">
        <f t="shared" si="6"/>
        <v/>
      </c>
      <c r="Y19" s="8" t="str">
        <f t="shared" si="7"/>
        <v/>
      </c>
      <c r="AA19">
        <v>63</v>
      </c>
      <c r="AB19">
        <v>6</v>
      </c>
      <c r="AC19">
        <v>5</v>
      </c>
      <c r="AD19" s="8">
        <f t="shared" si="8"/>
        <v>20.302157093662885</v>
      </c>
      <c r="AE19" s="8">
        <f t="shared" si="9"/>
        <v>6</v>
      </c>
    </row>
    <row r="20" spans="3:31" x14ac:dyDescent="0.25">
      <c r="C20" s="8">
        <v>11</v>
      </c>
      <c r="D20" s="8">
        <v>1</v>
      </c>
      <c r="E20" s="8">
        <v>1</v>
      </c>
      <c r="F20" s="8">
        <f t="shared" si="0"/>
        <v>0.24424203574782716</v>
      </c>
      <c r="G20" s="8">
        <f t="shared" si="1"/>
        <v>1</v>
      </c>
      <c r="I20" s="9">
        <v>13</v>
      </c>
      <c r="J20" s="9">
        <v>31</v>
      </c>
      <c r="K20" s="9">
        <v>2</v>
      </c>
      <c r="L20" s="8">
        <f t="shared" si="2"/>
        <v>9</v>
      </c>
      <c r="M20" s="8">
        <f t="shared" si="3"/>
        <v>31</v>
      </c>
      <c r="O20" s="9">
        <v>27</v>
      </c>
      <c r="P20" s="9">
        <v>30</v>
      </c>
      <c r="Q20" s="9">
        <v>4</v>
      </c>
      <c r="R20" s="8" t="str">
        <f t="shared" si="4"/>
        <v/>
      </c>
      <c r="S20" s="8" t="str">
        <f t="shared" si="5"/>
        <v/>
      </c>
      <c r="U20" s="9">
        <v>43</v>
      </c>
      <c r="V20" s="9">
        <v>61</v>
      </c>
      <c r="W20" s="9">
        <v>4</v>
      </c>
      <c r="X20" s="8">
        <f t="shared" si="6"/>
        <v>3540.9392227307285</v>
      </c>
      <c r="Y20" s="8">
        <f t="shared" si="7"/>
        <v>61</v>
      </c>
      <c r="AA20">
        <v>71</v>
      </c>
      <c r="AB20">
        <v>5</v>
      </c>
      <c r="AC20">
        <v>5</v>
      </c>
      <c r="AD20" s="8">
        <f t="shared" si="8"/>
        <v>12.290574082079875</v>
      </c>
      <c r="AE20" s="8">
        <f t="shared" si="9"/>
        <v>5</v>
      </c>
    </row>
    <row r="21" spans="3:31" x14ac:dyDescent="0.25">
      <c r="C21" s="8">
        <v>12</v>
      </c>
      <c r="D21" s="8">
        <v>1</v>
      </c>
      <c r="E21" s="8">
        <v>1</v>
      </c>
      <c r="F21" s="8">
        <f t="shared" si="0"/>
        <v>0.24424203574782716</v>
      </c>
      <c r="G21" s="8">
        <f t="shared" si="1"/>
        <v>1</v>
      </c>
      <c r="I21" s="9">
        <v>14</v>
      </c>
      <c r="J21" s="9">
        <v>1</v>
      </c>
      <c r="K21" s="9">
        <v>2</v>
      </c>
      <c r="L21" s="8">
        <f t="shared" si="2"/>
        <v>1089</v>
      </c>
      <c r="M21" s="8">
        <f t="shared" si="3"/>
        <v>1</v>
      </c>
      <c r="O21" s="9">
        <v>28</v>
      </c>
      <c r="P21" s="9">
        <v>3</v>
      </c>
      <c r="Q21" s="9">
        <v>5</v>
      </c>
      <c r="R21" s="8" t="str">
        <f t="shared" si="4"/>
        <v/>
      </c>
      <c r="S21" s="8" t="str">
        <f t="shared" si="5"/>
        <v/>
      </c>
      <c r="U21" s="9">
        <v>44</v>
      </c>
      <c r="V21" s="9">
        <v>47</v>
      </c>
      <c r="W21" s="9">
        <v>5</v>
      </c>
      <c r="X21" s="8" t="str">
        <f t="shared" si="6"/>
        <v/>
      </c>
      <c r="Y21" s="8" t="str">
        <f t="shared" si="7"/>
        <v/>
      </c>
      <c r="AA21">
        <v>93</v>
      </c>
      <c r="AB21">
        <v>10</v>
      </c>
      <c r="AC21">
        <v>5</v>
      </c>
      <c r="AD21" s="8">
        <f t="shared" si="8"/>
        <v>72.348489139994953</v>
      </c>
      <c r="AE21" s="8">
        <f t="shared" si="9"/>
        <v>10</v>
      </c>
    </row>
    <row r="22" spans="3:31" x14ac:dyDescent="0.25">
      <c r="C22" s="8">
        <v>13</v>
      </c>
      <c r="D22" s="8">
        <v>1</v>
      </c>
      <c r="E22" s="8">
        <v>1</v>
      </c>
      <c r="F22" s="8">
        <f t="shared" si="0"/>
        <v>0.24424203574782716</v>
      </c>
      <c r="G22" s="8">
        <f t="shared" si="1"/>
        <v>1</v>
      </c>
      <c r="I22" s="9">
        <v>15</v>
      </c>
      <c r="J22" s="9">
        <v>7</v>
      </c>
      <c r="K22" s="9">
        <v>5</v>
      </c>
      <c r="L22" s="8" t="str">
        <f t="shared" si="2"/>
        <v/>
      </c>
      <c r="M22" s="8" t="str">
        <f t="shared" si="3"/>
        <v/>
      </c>
      <c r="O22" s="9">
        <v>30</v>
      </c>
      <c r="P22" s="9">
        <v>43</v>
      </c>
      <c r="Q22" s="9">
        <v>3</v>
      </c>
      <c r="R22" s="8">
        <f t="shared" si="4"/>
        <v>1722.7307285222344</v>
      </c>
      <c r="S22" s="8">
        <f t="shared" si="5"/>
        <v>43</v>
      </c>
      <c r="U22" s="9">
        <v>52</v>
      </c>
      <c r="V22" s="9">
        <v>13</v>
      </c>
      <c r="W22">
        <v>4</v>
      </c>
      <c r="X22" s="8">
        <f t="shared" si="6"/>
        <v>132.38323817474398</v>
      </c>
      <c r="Y22" s="8">
        <f t="shared" si="7"/>
        <v>13</v>
      </c>
      <c r="AA22">
        <v>98</v>
      </c>
      <c r="AB22">
        <v>6</v>
      </c>
      <c r="AC22">
        <v>5</v>
      </c>
      <c r="AD22" s="8">
        <f t="shared" si="8"/>
        <v>20.302157093662885</v>
      </c>
      <c r="AE22" s="8">
        <f t="shared" si="9"/>
        <v>6</v>
      </c>
    </row>
    <row r="23" spans="3:31" x14ac:dyDescent="0.25">
      <c r="C23" s="8">
        <v>14</v>
      </c>
      <c r="D23" s="8">
        <v>1</v>
      </c>
      <c r="E23" s="8">
        <v>2</v>
      </c>
      <c r="F23" s="8" t="str">
        <f t="shared" si="0"/>
        <v/>
      </c>
      <c r="G23" s="8" t="str">
        <f t="shared" si="1"/>
        <v/>
      </c>
      <c r="I23" s="9">
        <v>18</v>
      </c>
      <c r="J23" s="9">
        <v>20</v>
      </c>
      <c r="K23" s="9">
        <v>2</v>
      </c>
      <c r="L23" s="8">
        <f t="shared" si="2"/>
        <v>196</v>
      </c>
      <c r="M23" s="8">
        <f t="shared" si="3"/>
        <v>20</v>
      </c>
      <c r="O23" s="9">
        <v>31</v>
      </c>
      <c r="P23" s="9">
        <v>14</v>
      </c>
      <c r="Q23" s="9">
        <v>3</v>
      </c>
      <c r="R23" s="8">
        <f t="shared" si="4"/>
        <v>156.39482118632699</v>
      </c>
      <c r="S23" s="8">
        <f t="shared" si="5"/>
        <v>14</v>
      </c>
      <c r="U23" s="9">
        <v>53</v>
      </c>
      <c r="V23" s="9">
        <v>17</v>
      </c>
      <c r="W23">
        <v>5</v>
      </c>
      <c r="X23" s="8" t="str">
        <f t="shared" si="6"/>
        <v/>
      </c>
      <c r="Y23" s="8" t="str">
        <f t="shared" si="7"/>
        <v/>
      </c>
      <c r="AA23">
        <v>105</v>
      </c>
      <c r="AB23">
        <v>12</v>
      </c>
      <c r="AC23">
        <v>5</v>
      </c>
      <c r="AD23" s="8">
        <f t="shared" si="8"/>
        <v>110.37165516316098</v>
      </c>
      <c r="AE23" s="8">
        <f t="shared" si="9"/>
        <v>12</v>
      </c>
    </row>
    <row r="24" spans="3:31" x14ac:dyDescent="0.25">
      <c r="C24" s="8">
        <v>15</v>
      </c>
      <c r="D24" s="8">
        <v>1</v>
      </c>
      <c r="E24" s="8">
        <v>1</v>
      </c>
      <c r="F24" s="8">
        <f t="shared" si="0"/>
        <v>0.24424203574782716</v>
      </c>
      <c r="G24" s="8">
        <f t="shared" si="1"/>
        <v>1</v>
      </c>
      <c r="I24" s="9">
        <v>19</v>
      </c>
      <c r="J24" s="9">
        <v>21</v>
      </c>
      <c r="K24" s="9">
        <v>2</v>
      </c>
      <c r="L24" s="8">
        <f t="shared" si="2"/>
        <v>169</v>
      </c>
      <c r="M24" s="8">
        <f t="shared" si="3"/>
        <v>21</v>
      </c>
      <c r="O24" s="9">
        <v>32</v>
      </c>
      <c r="P24" s="9">
        <v>14</v>
      </c>
      <c r="Q24" s="9">
        <v>5</v>
      </c>
      <c r="R24" s="8" t="str">
        <f t="shared" si="4"/>
        <v/>
      </c>
      <c r="S24" s="8" t="str">
        <f t="shared" si="5"/>
        <v/>
      </c>
      <c r="U24">
        <v>63</v>
      </c>
      <c r="V24">
        <v>6</v>
      </c>
      <c r="W24">
        <v>5</v>
      </c>
      <c r="X24" s="8" t="str">
        <f t="shared" si="6"/>
        <v/>
      </c>
      <c r="Y24" s="8" t="str">
        <f t="shared" si="7"/>
        <v/>
      </c>
      <c r="AA24">
        <v>128</v>
      </c>
      <c r="AB24">
        <v>3</v>
      </c>
      <c r="AC24">
        <v>5</v>
      </c>
      <c r="AD24" s="8">
        <f t="shared" si="8"/>
        <v>2.2674080589138508</v>
      </c>
      <c r="AE24" s="8">
        <f t="shared" si="9"/>
        <v>3</v>
      </c>
    </row>
    <row r="25" spans="3:31" x14ac:dyDescent="0.25">
      <c r="C25" s="8">
        <v>16</v>
      </c>
      <c r="D25" s="8">
        <v>3</v>
      </c>
      <c r="E25" s="8">
        <v>1</v>
      </c>
      <c r="F25" s="8">
        <f t="shared" si="0"/>
        <v>2.2674080589138508</v>
      </c>
      <c r="G25" s="8">
        <f t="shared" si="1"/>
        <v>3</v>
      </c>
      <c r="I25" s="9">
        <v>20</v>
      </c>
      <c r="J25" s="9">
        <v>6</v>
      </c>
      <c r="K25" s="9">
        <v>4</v>
      </c>
      <c r="L25" s="8" t="str">
        <f t="shared" si="2"/>
        <v/>
      </c>
      <c r="M25" s="8" t="str">
        <f t="shared" si="3"/>
        <v/>
      </c>
      <c r="O25" s="9">
        <v>34</v>
      </c>
      <c r="P25" s="9">
        <v>6</v>
      </c>
      <c r="Q25" s="9">
        <v>5</v>
      </c>
      <c r="R25" s="8" t="str">
        <f t="shared" si="4"/>
        <v/>
      </c>
      <c r="S25" s="8" t="str">
        <f t="shared" si="5"/>
        <v/>
      </c>
      <c r="U25">
        <v>71</v>
      </c>
      <c r="V25">
        <v>1</v>
      </c>
      <c r="W25">
        <v>4</v>
      </c>
      <c r="X25" s="8">
        <f t="shared" si="6"/>
        <v>0.24424203574782716</v>
      </c>
      <c r="Y25" s="8">
        <f t="shared" si="7"/>
        <v>1</v>
      </c>
      <c r="AA25">
        <v>138</v>
      </c>
      <c r="AB25">
        <v>27</v>
      </c>
      <c r="AC25">
        <v>5</v>
      </c>
      <c r="AD25" s="8">
        <f t="shared" si="8"/>
        <v>650.54540033690614</v>
      </c>
      <c r="AE25" s="8">
        <f t="shared" si="9"/>
        <v>27</v>
      </c>
    </row>
    <row r="26" spans="3:31" x14ac:dyDescent="0.25">
      <c r="C26" s="8">
        <v>17</v>
      </c>
      <c r="D26" s="8">
        <v>1</v>
      </c>
      <c r="E26" s="8">
        <v>1</v>
      </c>
      <c r="F26" s="8">
        <f t="shared" si="0"/>
        <v>0.24424203574782716</v>
      </c>
      <c r="G26" s="8">
        <f t="shared" si="1"/>
        <v>1</v>
      </c>
      <c r="I26" s="9">
        <v>21</v>
      </c>
      <c r="J26" s="9">
        <v>42</v>
      </c>
      <c r="K26" s="9">
        <v>3</v>
      </c>
      <c r="L26" s="8" t="str">
        <f t="shared" si="2"/>
        <v/>
      </c>
      <c r="M26" s="8" t="str">
        <f t="shared" si="3"/>
        <v/>
      </c>
      <c r="O26" s="9">
        <v>37</v>
      </c>
      <c r="P26" s="9">
        <v>52</v>
      </c>
      <c r="Q26">
        <v>3</v>
      </c>
      <c r="R26" s="8">
        <f t="shared" si="4"/>
        <v>2550.8349756264815</v>
      </c>
      <c r="S26" s="8">
        <f t="shared" si="5"/>
        <v>52</v>
      </c>
      <c r="U26">
        <v>93</v>
      </c>
      <c r="V26">
        <v>10</v>
      </c>
      <c r="W26">
        <v>5</v>
      </c>
      <c r="X26" s="8" t="str">
        <f t="shared" si="6"/>
        <v/>
      </c>
      <c r="Y26" s="8" t="str">
        <f t="shared" si="7"/>
        <v/>
      </c>
      <c r="AA26">
        <v>143</v>
      </c>
      <c r="AB26">
        <v>7</v>
      </c>
      <c r="AC26">
        <v>5</v>
      </c>
      <c r="AD26" s="8">
        <f t="shared" si="8"/>
        <v>30.313740105245898</v>
      </c>
      <c r="AE26" s="8">
        <f t="shared" si="9"/>
        <v>7</v>
      </c>
    </row>
    <row r="27" spans="3:31" x14ac:dyDescent="0.25">
      <c r="C27" s="8">
        <v>18</v>
      </c>
      <c r="D27" s="8">
        <v>1</v>
      </c>
      <c r="E27" s="8">
        <v>1</v>
      </c>
      <c r="F27" s="8">
        <f t="shared" si="0"/>
        <v>0.24424203574782716</v>
      </c>
      <c r="G27" s="8">
        <f t="shared" si="1"/>
        <v>1</v>
      </c>
      <c r="I27" s="9">
        <v>23</v>
      </c>
      <c r="J27" s="9">
        <v>23</v>
      </c>
      <c r="K27" s="9">
        <v>4</v>
      </c>
      <c r="L27" s="8" t="str">
        <f t="shared" si="2"/>
        <v/>
      </c>
      <c r="M27" s="8" t="str">
        <f t="shared" si="3"/>
        <v/>
      </c>
      <c r="O27" s="9">
        <v>40</v>
      </c>
      <c r="P27" s="9">
        <v>26</v>
      </c>
      <c r="Q27">
        <v>3</v>
      </c>
      <c r="R27" s="8">
        <f t="shared" si="4"/>
        <v>600.53381732532318</v>
      </c>
      <c r="S27" s="8">
        <f t="shared" si="5"/>
        <v>26</v>
      </c>
      <c r="U27">
        <v>98</v>
      </c>
      <c r="V27">
        <v>6</v>
      </c>
      <c r="W27">
        <v>5</v>
      </c>
      <c r="X27" s="8" t="str">
        <f t="shared" si="6"/>
        <v/>
      </c>
      <c r="Y27" s="8" t="str">
        <f t="shared" si="7"/>
        <v/>
      </c>
      <c r="AA27">
        <v>157</v>
      </c>
      <c r="AB27">
        <v>69</v>
      </c>
      <c r="AC27">
        <v>5</v>
      </c>
      <c r="AD27" s="8">
        <f t="shared" si="8"/>
        <v>4557.0318868233926</v>
      </c>
      <c r="AE27" s="8">
        <f t="shared" si="9"/>
        <v>69</v>
      </c>
    </row>
    <row r="28" spans="3:31" x14ac:dyDescent="0.25">
      <c r="C28" s="8">
        <v>19</v>
      </c>
      <c r="D28" s="8">
        <v>1</v>
      </c>
      <c r="E28" s="8">
        <v>1</v>
      </c>
      <c r="F28" s="8">
        <f t="shared" si="0"/>
        <v>0.24424203574782716</v>
      </c>
      <c r="G28" s="8">
        <f t="shared" si="1"/>
        <v>1</v>
      </c>
      <c r="I28" s="9">
        <v>25</v>
      </c>
      <c r="J28" s="9">
        <v>15</v>
      </c>
      <c r="K28" s="9">
        <v>5</v>
      </c>
      <c r="L28" s="8" t="str">
        <f t="shared" si="2"/>
        <v/>
      </c>
      <c r="M28" s="8" t="str">
        <f t="shared" si="3"/>
        <v/>
      </c>
      <c r="O28">
        <v>43</v>
      </c>
      <c r="P28">
        <v>61</v>
      </c>
      <c r="Q28">
        <v>4</v>
      </c>
      <c r="R28" s="8" t="str">
        <f t="shared" si="4"/>
        <v/>
      </c>
      <c r="S28" s="8" t="str">
        <f t="shared" si="5"/>
        <v/>
      </c>
      <c r="U28">
        <v>105</v>
      </c>
      <c r="V28">
        <v>12</v>
      </c>
      <c r="W28">
        <v>5</v>
      </c>
      <c r="X28" s="8" t="str">
        <f t="shared" si="6"/>
        <v/>
      </c>
      <c r="Y28" s="8" t="str">
        <f t="shared" si="7"/>
        <v/>
      </c>
      <c r="AA28">
        <v>163</v>
      </c>
      <c r="AB28">
        <v>6</v>
      </c>
      <c r="AC28">
        <v>5</v>
      </c>
      <c r="AD28" s="8">
        <f t="shared" si="8"/>
        <v>20.302157093662885</v>
      </c>
      <c r="AE28" s="8">
        <f t="shared" si="9"/>
        <v>6</v>
      </c>
    </row>
    <row r="29" spans="3:31" x14ac:dyDescent="0.25">
      <c r="C29" s="8">
        <v>20</v>
      </c>
      <c r="D29" s="8">
        <v>1</v>
      </c>
      <c r="E29" s="8">
        <v>1</v>
      </c>
      <c r="F29" s="8">
        <f t="shared" si="0"/>
        <v>0.24424203574782716</v>
      </c>
      <c r="G29" s="8">
        <f t="shared" si="1"/>
        <v>1</v>
      </c>
      <c r="I29" s="9">
        <v>26</v>
      </c>
      <c r="J29" s="9">
        <v>1</v>
      </c>
      <c r="K29" s="9">
        <v>2</v>
      </c>
      <c r="L29" s="8">
        <f t="shared" si="2"/>
        <v>1089</v>
      </c>
      <c r="M29" s="8">
        <f t="shared" si="3"/>
        <v>1</v>
      </c>
      <c r="O29">
        <v>44</v>
      </c>
      <c r="P29">
        <v>47</v>
      </c>
      <c r="Q29">
        <v>5</v>
      </c>
      <c r="R29" s="8" t="str">
        <f t="shared" si="4"/>
        <v/>
      </c>
      <c r="S29" s="8" t="str">
        <f t="shared" si="5"/>
        <v/>
      </c>
      <c r="U29">
        <v>114</v>
      </c>
      <c r="V29">
        <v>14</v>
      </c>
      <c r="W29">
        <v>4</v>
      </c>
      <c r="X29" s="8">
        <f t="shared" si="6"/>
        <v>156.39482118632699</v>
      </c>
      <c r="Y29" s="8">
        <f t="shared" si="7"/>
        <v>14</v>
      </c>
      <c r="AA29">
        <v>167</v>
      </c>
      <c r="AB29">
        <v>35</v>
      </c>
      <c r="AC29">
        <v>5</v>
      </c>
      <c r="AD29" s="8">
        <f t="shared" si="8"/>
        <v>1122.6380644295702</v>
      </c>
      <c r="AE29" s="8">
        <f t="shared" si="9"/>
        <v>35</v>
      </c>
    </row>
    <row r="30" spans="3:31" x14ac:dyDescent="0.25">
      <c r="C30" s="8">
        <v>21</v>
      </c>
      <c r="D30" s="8">
        <v>1</v>
      </c>
      <c r="E30" s="8">
        <v>1</v>
      </c>
      <c r="F30" s="8">
        <f t="shared" si="0"/>
        <v>0.24424203574782716</v>
      </c>
      <c r="G30" s="8">
        <f t="shared" si="1"/>
        <v>1</v>
      </c>
      <c r="I30" s="9">
        <v>27</v>
      </c>
      <c r="J30" s="9">
        <v>30</v>
      </c>
      <c r="K30" s="9">
        <v>4</v>
      </c>
      <c r="L30" s="8" t="str">
        <f t="shared" si="2"/>
        <v/>
      </c>
      <c r="M30" s="8" t="str">
        <f t="shared" si="3"/>
        <v/>
      </c>
      <c r="O30">
        <v>48</v>
      </c>
      <c r="P30">
        <v>22</v>
      </c>
      <c r="Q30">
        <v>3</v>
      </c>
      <c r="R30" s="8">
        <f t="shared" si="4"/>
        <v>420.48748527899113</v>
      </c>
      <c r="S30" s="8">
        <f t="shared" si="5"/>
        <v>22</v>
      </c>
      <c r="U30">
        <v>128</v>
      </c>
      <c r="V30">
        <v>3</v>
      </c>
      <c r="W30">
        <v>5</v>
      </c>
      <c r="X30" s="8" t="str">
        <f t="shared" si="6"/>
        <v/>
      </c>
      <c r="Y30" s="8" t="str">
        <f t="shared" si="7"/>
        <v/>
      </c>
      <c r="AA30">
        <v>181</v>
      </c>
      <c r="AB30">
        <v>105</v>
      </c>
      <c r="AC30">
        <v>5</v>
      </c>
      <c r="AD30" s="8">
        <f t="shared" si="8"/>
        <v>10713.448875240381</v>
      </c>
      <c r="AE30" s="8">
        <f t="shared" si="9"/>
        <v>105</v>
      </c>
    </row>
    <row r="31" spans="3:31" x14ac:dyDescent="0.25">
      <c r="C31" s="8">
        <v>22</v>
      </c>
      <c r="D31" s="8">
        <v>2</v>
      </c>
      <c r="E31" s="8">
        <v>1</v>
      </c>
      <c r="F31" s="8">
        <f t="shared" si="0"/>
        <v>0.25582504733083894</v>
      </c>
      <c r="G31" s="8">
        <f t="shared" si="1"/>
        <v>2</v>
      </c>
      <c r="I31" s="9">
        <v>28</v>
      </c>
      <c r="J31" s="9">
        <v>1</v>
      </c>
      <c r="K31" s="9">
        <v>2</v>
      </c>
      <c r="L31" s="8">
        <f t="shared" si="2"/>
        <v>1089</v>
      </c>
      <c r="M31" s="8">
        <f t="shared" si="3"/>
        <v>1</v>
      </c>
      <c r="O31">
        <v>52</v>
      </c>
      <c r="P31">
        <v>13</v>
      </c>
      <c r="Q31">
        <v>4</v>
      </c>
      <c r="R31" s="8" t="str">
        <f t="shared" si="4"/>
        <v/>
      </c>
      <c r="S31" s="8" t="str">
        <f t="shared" si="5"/>
        <v/>
      </c>
      <c r="U31">
        <v>132</v>
      </c>
      <c r="V31">
        <v>25</v>
      </c>
      <c r="W31">
        <v>4</v>
      </c>
      <c r="X31" s="8">
        <f t="shared" si="6"/>
        <v>552.52223431374011</v>
      </c>
      <c r="Y31" s="8">
        <f t="shared" si="7"/>
        <v>25</v>
      </c>
      <c r="AA31">
        <v>195</v>
      </c>
      <c r="AB31">
        <v>8</v>
      </c>
      <c r="AC31">
        <v>5</v>
      </c>
      <c r="AD31" s="8">
        <f t="shared" si="8"/>
        <v>42.325323116828912</v>
      </c>
      <c r="AE31" s="8">
        <f t="shared" si="9"/>
        <v>8</v>
      </c>
    </row>
    <row r="32" spans="3:31" x14ac:dyDescent="0.25">
      <c r="C32" s="8">
        <v>23</v>
      </c>
      <c r="D32" s="8">
        <v>1</v>
      </c>
      <c r="E32" s="8">
        <v>1</v>
      </c>
      <c r="F32" s="8">
        <f t="shared" si="0"/>
        <v>0.24424203574782716</v>
      </c>
      <c r="G32" s="8">
        <f t="shared" si="1"/>
        <v>1</v>
      </c>
      <c r="I32" s="9">
        <v>29</v>
      </c>
      <c r="J32" s="9">
        <v>20</v>
      </c>
      <c r="K32">
        <v>2</v>
      </c>
      <c r="L32" s="8">
        <f t="shared" si="2"/>
        <v>196</v>
      </c>
      <c r="M32" s="8">
        <f t="shared" si="3"/>
        <v>20</v>
      </c>
      <c r="O32">
        <v>53</v>
      </c>
      <c r="P32">
        <v>17</v>
      </c>
      <c r="Q32">
        <v>5</v>
      </c>
      <c r="R32" s="8" t="str">
        <f t="shared" si="4"/>
        <v/>
      </c>
      <c r="S32" s="8" t="str">
        <f t="shared" si="5"/>
        <v/>
      </c>
      <c r="U32">
        <v>138</v>
      </c>
      <c r="V32">
        <v>27</v>
      </c>
      <c r="W32">
        <v>5</v>
      </c>
      <c r="X32" s="8" t="str">
        <f t="shared" si="6"/>
        <v/>
      </c>
      <c r="Y32" s="8" t="str">
        <f t="shared" si="7"/>
        <v/>
      </c>
      <c r="AA32">
        <v>201</v>
      </c>
      <c r="AB32">
        <v>13</v>
      </c>
      <c r="AC32">
        <v>5</v>
      </c>
      <c r="AD32" s="8">
        <f t="shared" si="8"/>
        <v>132.38323817474398</v>
      </c>
      <c r="AE32" s="8">
        <f t="shared" si="9"/>
        <v>13</v>
      </c>
    </row>
    <row r="33" spans="3:31" x14ac:dyDescent="0.25">
      <c r="C33" s="8">
        <v>24</v>
      </c>
      <c r="D33" s="8">
        <v>3</v>
      </c>
      <c r="E33" s="8">
        <v>1</v>
      </c>
      <c r="F33" s="8">
        <f t="shared" si="0"/>
        <v>2.2674080589138508</v>
      </c>
      <c r="G33" s="8">
        <f t="shared" si="1"/>
        <v>3</v>
      </c>
      <c r="I33" s="9">
        <v>30</v>
      </c>
      <c r="J33" s="9">
        <v>43</v>
      </c>
      <c r="K33">
        <v>3</v>
      </c>
      <c r="L33" s="8" t="str">
        <f t="shared" si="2"/>
        <v/>
      </c>
      <c r="M33" s="8" t="str">
        <f t="shared" si="3"/>
        <v/>
      </c>
      <c r="O33">
        <v>58</v>
      </c>
      <c r="P33">
        <v>1</v>
      </c>
      <c r="Q33">
        <v>3</v>
      </c>
      <c r="R33" s="8">
        <f t="shared" si="4"/>
        <v>0.24424203574782716</v>
      </c>
      <c r="S33" s="8">
        <f t="shared" si="5"/>
        <v>1</v>
      </c>
      <c r="U33">
        <v>143</v>
      </c>
      <c r="V33">
        <v>7</v>
      </c>
      <c r="W33">
        <v>5</v>
      </c>
      <c r="X33" s="8" t="str">
        <f t="shared" si="6"/>
        <v/>
      </c>
      <c r="Y33" s="8" t="str">
        <f t="shared" si="7"/>
        <v/>
      </c>
      <c r="AA33">
        <v>213</v>
      </c>
      <c r="AB33">
        <v>10</v>
      </c>
      <c r="AC33">
        <v>5</v>
      </c>
      <c r="AD33" s="8">
        <f t="shared" si="8"/>
        <v>72.348489139994953</v>
      </c>
      <c r="AE33" s="8">
        <f t="shared" si="9"/>
        <v>10</v>
      </c>
    </row>
    <row r="34" spans="3:31" x14ac:dyDescent="0.25">
      <c r="C34" s="8">
        <v>25</v>
      </c>
      <c r="D34" s="8">
        <v>1</v>
      </c>
      <c r="E34" s="8">
        <v>1</v>
      </c>
      <c r="F34" s="8">
        <f t="shared" si="0"/>
        <v>0.24424203574782716</v>
      </c>
      <c r="G34" s="8">
        <f t="shared" si="1"/>
        <v>1</v>
      </c>
      <c r="I34" s="9">
        <v>31</v>
      </c>
      <c r="J34" s="9">
        <v>14</v>
      </c>
      <c r="K34">
        <v>3</v>
      </c>
      <c r="L34" s="8" t="str">
        <f t="shared" si="2"/>
        <v/>
      </c>
      <c r="M34" s="8" t="str">
        <f t="shared" si="3"/>
        <v/>
      </c>
      <c r="O34">
        <v>60</v>
      </c>
      <c r="P34">
        <v>30</v>
      </c>
      <c r="Q34">
        <v>3</v>
      </c>
      <c r="R34" s="8">
        <f t="shared" si="4"/>
        <v>812.58014937165524</v>
      </c>
      <c r="S34" s="8">
        <f t="shared" si="5"/>
        <v>30</v>
      </c>
      <c r="U34">
        <v>152</v>
      </c>
      <c r="V34">
        <v>24</v>
      </c>
      <c r="W34">
        <v>4</v>
      </c>
      <c r="X34" s="8">
        <f t="shared" si="6"/>
        <v>506.51065130215716</v>
      </c>
      <c r="Y34" s="8">
        <f t="shared" si="7"/>
        <v>24</v>
      </c>
      <c r="AA34">
        <v>230</v>
      </c>
      <c r="AB34">
        <v>38</v>
      </c>
      <c r="AC34">
        <v>5</v>
      </c>
      <c r="AD34" s="8">
        <f t="shared" si="8"/>
        <v>1332.6728134643192</v>
      </c>
      <c r="AE34" s="8">
        <f t="shared" si="9"/>
        <v>38</v>
      </c>
    </row>
    <row r="35" spans="3:31" x14ac:dyDescent="0.25">
      <c r="C35" s="8">
        <v>26</v>
      </c>
      <c r="D35" s="8">
        <v>1</v>
      </c>
      <c r="E35" s="8">
        <v>2</v>
      </c>
      <c r="F35" s="8" t="str">
        <f t="shared" si="0"/>
        <v/>
      </c>
      <c r="G35" s="8" t="str">
        <f t="shared" si="1"/>
        <v/>
      </c>
      <c r="I35">
        <v>32</v>
      </c>
      <c r="J35">
        <v>14</v>
      </c>
      <c r="K35">
        <v>5</v>
      </c>
      <c r="L35" s="8" t="str">
        <f t="shared" si="2"/>
        <v/>
      </c>
      <c r="M35" s="8" t="str">
        <f t="shared" si="3"/>
        <v/>
      </c>
      <c r="O35">
        <v>62</v>
      </c>
      <c r="P35">
        <v>119</v>
      </c>
      <c r="Q35">
        <v>3</v>
      </c>
      <c r="R35" s="8">
        <f t="shared" si="4"/>
        <v>13807.611037402543</v>
      </c>
      <c r="S35" s="8">
        <f t="shared" si="5"/>
        <v>119</v>
      </c>
      <c r="U35">
        <v>157</v>
      </c>
      <c r="V35">
        <v>69</v>
      </c>
      <c r="W35">
        <v>5</v>
      </c>
      <c r="X35" s="8" t="str">
        <f t="shared" si="6"/>
        <v/>
      </c>
      <c r="Y35" s="8" t="str">
        <f t="shared" si="7"/>
        <v/>
      </c>
      <c r="AA35">
        <v>236</v>
      </c>
      <c r="AB35">
        <v>51</v>
      </c>
      <c r="AC35">
        <v>5</v>
      </c>
      <c r="AD35" s="8">
        <f t="shared" si="8"/>
        <v>2450.8233926148987</v>
      </c>
      <c r="AE35" s="8">
        <f t="shared" si="9"/>
        <v>51</v>
      </c>
    </row>
    <row r="36" spans="3:31" x14ac:dyDescent="0.25">
      <c r="C36" s="8">
        <v>27</v>
      </c>
      <c r="D36" s="8">
        <v>1</v>
      </c>
      <c r="E36" s="8">
        <v>1</v>
      </c>
      <c r="F36" s="8">
        <f t="shared" si="0"/>
        <v>0.24424203574782716</v>
      </c>
      <c r="G36" s="8">
        <f t="shared" si="1"/>
        <v>1</v>
      </c>
      <c r="I36">
        <v>33</v>
      </c>
      <c r="J36">
        <v>1</v>
      </c>
      <c r="K36">
        <v>2</v>
      </c>
      <c r="L36" s="8">
        <f t="shared" si="2"/>
        <v>1089</v>
      </c>
      <c r="M36" s="8">
        <f t="shared" si="3"/>
        <v>1</v>
      </c>
      <c r="O36">
        <v>63</v>
      </c>
      <c r="P36">
        <v>6</v>
      </c>
      <c r="Q36">
        <v>5</v>
      </c>
      <c r="R36" s="8" t="str">
        <f t="shared" si="4"/>
        <v/>
      </c>
      <c r="S36" s="8" t="str">
        <f t="shared" si="5"/>
        <v/>
      </c>
      <c r="U36">
        <v>163</v>
      </c>
      <c r="V36">
        <v>6</v>
      </c>
      <c r="W36">
        <v>5</v>
      </c>
      <c r="X36" s="8" t="str">
        <f t="shared" si="6"/>
        <v/>
      </c>
      <c r="Y36" s="8" t="str">
        <f t="shared" si="7"/>
        <v/>
      </c>
      <c r="AA36">
        <v>238</v>
      </c>
      <c r="AB36">
        <v>26</v>
      </c>
      <c r="AC36">
        <v>5</v>
      </c>
      <c r="AD36" s="8">
        <f t="shared" si="8"/>
        <v>600.53381732532318</v>
      </c>
      <c r="AE36" s="8">
        <f t="shared" si="9"/>
        <v>26</v>
      </c>
    </row>
    <row r="37" spans="3:31" x14ac:dyDescent="0.25">
      <c r="C37" s="8">
        <v>28</v>
      </c>
      <c r="D37" s="8">
        <v>1</v>
      </c>
      <c r="E37" s="8">
        <v>2</v>
      </c>
      <c r="F37" s="8" t="str">
        <f t="shared" si="0"/>
        <v/>
      </c>
      <c r="G37" s="8" t="str">
        <f t="shared" si="1"/>
        <v/>
      </c>
      <c r="I37">
        <v>34</v>
      </c>
      <c r="J37">
        <v>6</v>
      </c>
      <c r="K37">
        <v>5</v>
      </c>
      <c r="L37" s="8" t="str">
        <f t="shared" si="2"/>
        <v/>
      </c>
      <c r="M37" s="8" t="str">
        <f t="shared" si="3"/>
        <v/>
      </c>
      <c r="O37">
        <v>66</v>
      </c>
      <c r="P37">
        <v>1</v>
      </c>
      <c r="Q37">
        <v>3</v>
      </c>
      <c r="R37" s="8">
        <f t="shared" si="4"/>
        <v>0.24424203574782716</v>
      </c>
      <c r="S37" s="8">
        <f t="shared" si="5"/>
        <v>1</v>
      </c>
      <c r="U37">
        <v>167</v>
      </c>
      <c r="V37">
        <v>35</v>
      </c>
      <c r="W37">
        <v>5</v>
      </c>
      <c r="X37" s="8" t="str">
        <f t="shared" si="6"/>
        <v/>
      </c>
      <c r="Y37" s="8" t="str">
        <f t="shared" si="7"/>
        <v/>
      </c>
      <c r="AA37">
        <v>242</v>
      </c>
      <c r="AB37">
        <v>77</v>
      </c>
      <c r="AC37">
        <v>5</v>
      </c>
      <c r="AD37" s="8">
        <f t="shared" si="8"/>
        <v>5701.1245509160572</v>
      </c>
      <c r="AE37" s="8">
        <f t="shared" si="9"/>
        <v>77</v>
      </c>
    </row>
    <row r="38" spans="3:31" x14ac:dyDescent="0.25">
      <c r="C38" s="8">
        <v>29</v>
      </c>
      <c r="D38" s="8">
        <v>2</v>
      </c>
      <c r="E38" s="8">
        <v>1</v>
      </c>
      <c r="F38" s="8">
        <f t="shared" si="0"/>
        <v>0.25582504733083894</v>
      </c>
      <c r="G38" s="8">
        <f t="shared" si="1"/>
        <v>2</v>
      </c>
      <c r="I38">
        <v>36</v>
      </c>
      <c r="J38">
        <v>61</v>
      </c>
      <c r="K38">
        <v>2</v>
      </c>
      <c r="L38" s="8">
        <f t="shared" si="2"/>
        <v>729</v>
      </c>
      <c r="M38" s="8">
        <f t="shared" si="3"/>
        <v>61</v>
      </c>
      <c r="O38">
        <v>67</v>
      </c>
      <c r="P38">
        <v>48</v>
      </c>
      <c r="Q38">
        <v>3</v>
      </c>
      <c r="R38" s="8">
        <f t="shared" si="4"/>
        <v>2162.7886435801493</v>
      </c>
      <c r="S38" s="8">
        <f t="shared" si="5"/>
        <v>48</v>
      </c>
      <c r="U38">
        <v>181</v>
      </c>
      <c r="V38">
        <v>105</v>
      </c>
      <c r="W38">
        <v>5</v>
      </c>
      <c r="X38" s="8" t="str">
        <f t="shared" si="6"/>
        <v/>
      </c>
      <c r="Y38" s="8" t="str">
        <f t="shared" si="7"/>
        <v/>
      </c>
      <c r="AA38">
        <v>246</v>
      </c>
      <c r="AB38">
        <v>23</v>
      </c>
      <c r="AC38">
        <v>5</v>
      </c>
      <c r="AD38" s="8">
        <f t="shared" si="8"/>
        <v>462.49906829057414</v>
      </c>
      <c r="AE38" s="8">
        <f t="shared" si="9"/>
        <v>23</v>
      </c>
    </row>
    <row r="39" spans="3:31" x14ac:dyDescent="0.25">
      <c r="C39" s="8">
        <v>30</v>
      </c>
      <c r="D39" s="8">
        <v>1</v>
      </c>
      <c r="E39">
        <v>1</v>
      </c>
      <c r="F39" s="8">
        <f t="shared" si="0"/>
        <v>0.24424203574782716</v>
      </c>
      <c r="G39" s="8">
        <f t="shared" si="1"/>
        <v>1</v>
      </c>
      <c r="I39">
        <v>37</v>
      </c>
      <c r="J39">
        <v>52</v>
      </c>
      <c r="K39">
        <v>3</v>
      </c>
      <c r="L39" s="8" t="str">
        <f t="shared" si="2"/>
        <v/>
      </c>
      <c r="M39" s="8" t="str">
        <f t="shared" si="3"/>
        <v/>
      </c>
      <c r="O39">
        <v>71</v>
      </c>
      <c r="P39">
        <v>1</v>
      </c>
      <c r="Q39">
        <v>4</v>
      </c>
      <c r="R39" s="8" t="str">
        <f t="shared" si="4"/>
        <v/>
      </c>
      <c r="S39" s="8" t="str">
        <f t="shared" si="5"/>
        <v/>
      </c>
      <c r="U39">
        <v>194</v>
      </c>
      <c r="V39">
        <v>118</v>
      </c>
      <c r="W39">
        <v>4</v>
      </c>
      <c r="X39" s="8">
        <f t="shared" si="6"/>
        <v>13573.59945439096</v>
      </c>
      <c r="Y39" s="8">
        <f t="shared" si="7"/>
        <v>118</v>
      </c>
      <c r="AA39">
        <v>259</v>
      </c>
      <c r="AB39">
        <v>48</v>
      </c>
      <c r="AC39">
        <v>5</v>
      </c>
      <c r="AD39" s="8">
        <f t="shared" si="8"/>
        <v>2162.7886435801493</v>
      </c>
      <c r="AE39" s="8">
        <f t="shared" si="9"/>
        <v>48</v>
      </c>
    </row>
    <row r="40" spans="3:31" x14ac:dyDescent="0.25">
      <c r="C40" s="8">
        <v>31</v>
      </c>
      <c r="D40" s="8">
        <v>1</v>
      </c>
      <c r="E40">
        <v>1</v>
      </c>
      <c r="F40" s="8">
        <f t="shared" si="0"/>
        <v>0.24424203574782716</v>
      </c>
      <c r="G40" s="8">
        <f t="shared" si="1"/>
        <v>1</v>
      </c>
      <c r="I40">
        <v>38</v>
      </c>
      <c r="J40">
        <v>39</v>
      </c>
      <c r="K40">
        <v>2</v>
      </c>
      <c r="L40" s="8">
        <f t="shared" si="2"/>
        <v>25</v>
      </c>
      <c r="M40" s="8">
        <f t="shared" si="3"/>
        <v>39</v>
      </c>
      <c r="O40">
        <v>73</v>
      </c>
      <c r="P40">
        <v>30</v>
      </c>
      <c r="Q40">
        <v>3</v>
      </c>
      <c r="R40" s="8">
        <f t="shared" si="4"/>
        <v>812.58014937165524</v>
      </c>
      <c r="S40" s="8">
        <f t="shared" si="5"/>
        <v>30</v>
      </c>
      <c r="U40">
        <v>195</v>
      </c>
      <c r="V40">
        <v>8</v>
      </c>
      <c r="W40">
        <v>5</v>
      </c>
      <c r="X40" s="8" t="str">
        <f t="shared" si="6"/>
        <v/>
      </c>
      <c r="Y40" s="8" t="str">
        <f t="shared" si="7"/>
        <v/>
      </c>
      <c r="AA40">
        <v>270</v>
      </c>
      <c r="AB40">
        <v>18</v>
      </c>
      <c r="AC40">
        <v>5</v>
      </c>
      <c r="AD40" s="8">
        <f t="shared" si="8"/>
        <v>272.44115323265908</v>
      </c>
      <c r="AE40" s="8">
        <f t="shared" si="9"/>
        <v>18</v>
      </c>
    </row>
    <row r="41" spans="3:31" x14ac:dyDescent="0.25">
      <c r="C41" s="8">
        <v>32</v>
      </c>
      <c r="D41" s="8">
        <v>1</v>
      </c>
      <c r="E41">
        <v>1</v>
      </c>
      <c r="F41" s="8">
        <f t="shared" si="0"/>
        <v>0.24424203574782716</v>
      </c>
      <c r="G41" s="8">
        <f t="shared" si="1"/>
        <v>1</v>
      </c>
      <c r="I41">
        <v>39</v>
      </c>
      <c r="J41">
        <v>16</v>
      </c>
      <c r="K41">
        <v>2</v>
      </c>
      <c r="L41" s="8">
        <f t="shared" si="2"/>
        <v>324</v>
      </c>
      <c r="M41" s="8">
        <f t="shared" si="3"/>
        <v>16</v>
      </c>
      <c r="O41">
        <v>77</v>
      </c>
      <c r="P41">
        <v>10</v>
      </c>
      <c r="Q41">
        <v>3</v>
      </c>
      <c r="R41" s="8">
        <f t="shared" si="4"/>
        <v>72.348489139994953</v>
      </c>
      <c r="S41" s="8">
        <f t="shared" si="5"/>
        <v>10</v>
      </c>
      <c r="U41">
        <v>199</v>
      </c>
      <c r="V41">
        <v>108</v>
      </c>
      <c r="W41">
        <v>4</v>
      </c>
      <c r="X41" s="8">
        <f t="shared" si="6"/>
        <v>11343.48362427513</v>
      </c>
      <c r="Y41" s="8">
        <f t="shared" si="7"/>
        <v>108</v>
      </c>
      <c r="AA41">
        <v>271</v>
      </c>
      <c r="AB41">
        <v>36</v>
      </c>
      <c r="AC41">
        <v>5</v>
      </c>
      <c r="AD41" s="8">
        <f t="shared" si="8"/>
        <v>1190.6496474411533</v>
      </c>
      <c r="AE41" s="8">
        <f t="shared" si="9"/>
        <v>36</v>
      </c>
    </row>
    <row r="42" spans="3:31" x14ac:dyDescent="0.25">
      <c r="C42" s="8">
        <v>33</v>
      </c>
      <c r="D42" s="8">
        <v>1</v>
      </c>
      <c r="E42">
        <v>2</v>
      </c>
      <c r="F42" s="8" t="str">
        <f t="shared" si="0"/>
        <v/>
      </c>
      <c r="G42" s="8" t="str">
        <f t="shared" si="1"/>
        <v/>
      </c>
      <c r="I42">
        <v>40</v>
      </c>
      <c r="J42">
        <v>26</v>
      </c>
      <c r="K42">
        <v>3</v>
      </c>
      <c r="L42" s="8" t="str">
        <f t="shared" si="2"/>
        <v/>
      </c>
      <c r="M42" s="8" t="str">
        <f t="shared" si="3"/>
        <v/>
      </c>
      <c r="O42">
        <v>84</v>
      </c>
      <c r="P42">
        <v>19</v>
      </c>
      <c r="Q42">
        <v>3</v>
      </c>
      <c r="R42" s="8">
        <f t="shared" si="4"/>
        <v>306.45273624424209</v>
      </c>
      <c r="S42" s="8">
        <f t="shared" si="5"/>
        <v>19</v>
      </c>
      <c r="U42">
        <v>200</v>
      </c>
      <c r="V42">
        <v>15</v>
      </c>
      <c r="W42">
        <v>4</v>
      </c>
      <c r="X42" s="8">
        <f t="shared" si="6"/>
        <v>182.40640419791001</v>
      </c>
      <c r="Y42" s="8">
        <f t="shared" si="7"/>
        <v>15</v>
      </c>
      <c r="AA42">
        <v>273</v>
      </c>
      <c r="AB42">
        <v>21</v>
      </c>
      <c r="AC42">
        <v>5</v>
      </c>
      <c r="AD42" s="8">
        <f t="shared" si="8"/>
        <v>380.47590226740812</v>
      </c>
      <c r="AE42" s="8">
        <f t="shared" si="9"/>
        <v>21</v>
      </c>
    </row>
    <row r="43" spans="3:31" x14ac:dyDescent="0.25">
      <c r="C43" s="3">
        <v>34</v>
      </c>
      <c r="D43">
        <v>1</v>
      </c>
      <c r="E43">
        <v>1</v>
      </c>
      <c r="F43" s="8">
        <f t="shared" si="0"/>
        <v>0.24424203574782716</v>
      </c>
      <c r="G43" s="8">
        <f t="shared" si="1"/>
        <v>1</v>
      </c>
      <c r="I43">
        <v>41</v>
      </c>
      <c r="J43">
        <v>1</v>
      </c>
      <c r="K43">
        <v>2</v>
      </c>
      <c r="L43" s="8">
        <f t="shared" si="2"/>
        <v>1089</v>
      </c>
      <c r="M43" s="8">
        <f t="shared" si="3"/>
        <v>1</v>
      </c>
      <c r="O43">
        <v>89</v>
      </c>
      <c r="P43">
        <v>51</v>
      </c>
      <c r="Q43">
        <v>3</v>
      </c>
      <c r="R43" s="8">
        <f t="shared" si="4"/>
        <v>2450.8233926148987</v>
      </c>
      <c r="S43" s="8">
        <f t="shared" si="5"/>
        <v>51</v>
      </c>
      <c r="U43">
        <v>201</v>
      </c>
      <c r="V43">
        <v>13</v>
      </c>
      <c r="W43">
        <v>5</v>
      </c>
      <c r="X43" s="8" t="str">
        <f t="shared" si="6"/>
        <v/>
      </c>
      <c r="Y43" s="8" t="str">
        <f t="shared" si="7"/>
        <v/>
      </c>
      <c r="AA43">
        <v>278</v>
      </c>
      <c r="AB43">
        <v>10</v>
      </c>
      <c r="AC43">
        <v>5</v>
      </c>
      <c r="AD43" s="8">
        <f t="shared" si="8"/>
        <v>72.348489139994953</v>
      </c>
      <c r="AE43" s="8">
        <f t="shared" si="9"/>
        <v>10</v>
      </c>
    </row>
    <row r="44" spans="3:31" x14ac:dyDescent="0.25">
      <c r="C44">
        <v>35</v>
      </c>
      <c r="D44">
        <v>1</v>
      </c>
      <c r="E44">
        <v>1</v>
      </c>
      <c r="F44" s="8">
        <f t="shared" si="0"/>
        <v>0.24424203574782716</v>
      </c>
      <c r="G44" s="8">
        <f t="shared" si="1"/>
        <v>1</v>
      </c>
      <c r="I44">
        <v>43</v>
      </c>
      <c r="J44">
        <v>61</v>
      </c>
      <c r="K44">
        <v>4</v>
      </c>
      <c r="L44" s="8" t="str">
        <f t="shared" si="2"/>
        <v/>
      </c>
      <c r="M44" s="8" t="str">
        <f t="shared" si="3"/>
        <v/>
      </c>
      <c r="O44">
        <v>93</v>
      </c>
      <c r="P44">
        <v>10</v>
      </c>
      <c r="Q44">
        <v>5</v>
      </c>
      <c r="R44" s="8" t="str">
        <f t="shared" si="4"/>
        <v/>
      </c>
      <c r="S44" s="8" t="str">
        <f t="shared" si="5"/>
        <v/>
      </c>
      <c r="U44">
        <v>206</v>
      </c>
      <c r="V44">
        <v>36</v>
      </c>
      <c r="W44">
        <v>4</v>
      </c>
      <c r="X44" s="8">
        <f t="shared" si="6"/>
        <v>1190.6496474411533</v>
      </c>
      <c r="Y44" s="8">
        <f t="shared" si="7"/>
        <v>36</v>
      </c>
    </row>
    <row r="45" spans="3:31" x14ac:dyDescent="0.25">
      <c r="C45">
        <v>36</v>
      </c>
      <c r="D45">
        <v>1</v>
      </c>
      <c r="E45">
        <v>1</v>
      </c>
      <c r="F45" s="8">
        <f t="shared" si="0"/>
        <v>0.24424203574782716</v>
      </c>
      <c r="G45" s="8">
        <f t="shared" si="1"/>
        <v>1</v>
      </c>
      <c r="I45">
        <v>44</v>
      </c>
      <c r="J45">
        <v>47</v>
      </c>
      <c r="K45">
        <v>5</v>
      </c>
      <c r="L45" s="8" t="str">
        <f t="shared" si="2"/>
        <v/>
      </c>
      <c r="M45" s="8" t="str">
        <f t="shared" si="3"/>
        <v/>
      </c>
      <c r="O45">
        <v>94</v>
      </c>
      <c r="P45">
        <v>24</v>
      </c>
      <c r="Q45">
        <v>3</v>
      </c>
      <c r="R45" s="8">
        <f t="shared" si="4"/>
        <v>506.51065130215716</v>
      </c>
      <c r="S45" s="8">
        <f t="shared" si="5"/>
        <v>24</v>
      </c>
      <c r="U45">
        <v>213</v>
      </c>
      <c r="V45">
        <v>10</v>
      </c>
      <c r="W45">
        <v>5</v>
      </c>
      <c r="X45" s="8" t="str">
        <f t="shared" si="6"/>
        <v/>
      </c>
      <c r="Y45" s="8" t="str">
        <f t="shared" si="7"/>
        <v/>
      </c>
    </row>
    <row r="46" spans="3:31" x14ac:dyDescent="0.25">
      <c r="C46">
        <v>37</v>
      </c>
      <c r="D46">
        <v>1</v>
      </c>
      <c r="E46">
        <v>1</v>
      </c>
      <c r="F46" s="8">
        <f t="shared" si="0"/>
        <v>0.24424203574782716</v>
      </c>
      <c r="G46" s="8">
        <f t="shared" si="1"/>
        <v>1</v>
      </c>
      <c r="I46">
        <v>45</v>
      </c>
      <c r="J46">
        <v>21</v>
      </c>
      <c r="K46">
        <v>2</v>
      </c>
      <c r="L46" s="8">
        <f t="shared" si="2"/>
        <v>169</v>
      </c>
      <c r="M46" s="8">
        <f t="shared" si="3"/>
        <v>21</v>
      </c>
      <c r="O46">
        <v>96</v>
      </c>
      <c r="P46">
        <v>1</v>
      </c>
      <c r="Q46">
        <v>3</v>
      </c>
      <c r="R46" s="8">
        <f t="shared" si="4"/>
        <v>0.24424203574782716</v>
      </c>
      <c r="S46" s="8">
        <f t="shared" si="5"/>
        <v>1</v>
      </c>
      <c r="U46">
        <v>230</v>
      </c>
      <c r="V46">
        <v>38</v>
      </c>
      <c r="W46">
        <v>5</v>
      </c>
      <c r="X46" s="8" t="str">
        <f t="shared" si="6"/>
        <v/>
      </c>
      <c r="Y46" s="8" t="str">
        <f t="shared" si="7"/>
        <v/>
      </c>
    </row>
    <row r="47" spans="3:31" x14ac:dyDescent="0.25">
      <c r="C47">
        <v>38</v>
      </c>
      <c r="D47">
        <v>1</v>
      </c>
      <c r="E47">
        <v>1</v>
      </c>
      <c r="F47" s="8">
        <f t="shared" si="0"/>
        <v>0.24424203574782716</v>
      </c>
      <c r="G47" s="8">
        <f t="shared" si="1"/>
        <v>1</v>
      </c>
      <c r="I47">
        <v>48</v>
      </c>
      <c r="J47">
        <v>22</v>
      </c>
      <c r="K47">
        <v>3</v>
      </c>
      <c r="L47" s="8" t="str">
        <f t="shared" si="2"/>
        <v/>
      </c>
      <c r="M47" s="8" t="str">
        <f t="shared" si="3"/>
        <v/>
      </c>
      <c r="O47">
        <v>98</v>
      </c>
      <c r="P47">
        <v>6</v>
      </c>
      <c r="Q47">
        <v>5</v>
      </c>
      <c r="R47" s="8" t="str">
        <f t="shared" si="4"/>
        <v/>
      </c>
      <c r="S47" s="8" t="str">
        <f t="shared" si="5"/>
        <v/>
      </c>
      <c r="U47">
        <v>232</v>
      </c>
      <c r="V47">
        <v>47</v>
      </c>
      <c r="W47">
        <v>4</v>
      </c>
      <c r="X47" s="8">
        <f t="shared" si="6"/>
        <v>2070.7770605685664</v>
      </c>
      <c r="Y47" s="8">
        <f t="shared" si="7"/>
        <v>47</v>
      </c>
    </row>
    <row r="48" spans="3:31" x14ac:dyDescent="0.25">
      <c r="C48">
        <v>39</v>
      </c>
      <c r="D48">
        <v>1</v>
      </c>
      <c r="E48">
        <v>1</v>
      </c>
      <c r="F48" s="8">
        <f t="shared" si="0"/>
        <v>0.24424203574782716</v>
      </c>
      <c r="G48" s="8">
        <f t="shared" si="1"/>
        <v>1</v>
      </c>
      <c r="I48">
        <v>49</v>
      </c>
      <c r="J48">
        <v>55</v>
      </c>
      <c r="K48">
        <v>2</v>
      </c>
      <c r="L48" s="8">
        <f t="shared" si="2"/>
        <v>441</v>
      </c>
      <c r="M48" s="8">
        <f t="shared" si="3"/>
        <v>55</v>
      </c>
      <c r="O48">
        <v>99</v>
      </c>
      <c r="P48">
        <v>25</v>
      </c>
      <c r="Q48">
        <v>3</v>
      </c>
      <c r="R48" s="8">
        <f t="shared" si="4"/>
        <v>552.52223431374011</v>
      </c>
      <c r="S48" s="8">
        <f t="shared" si="5"/>
        <v>25</v>
      </c>
      <c r="U48">
        <v>236</v>
      </c>
      <c r="V48">
        <v>51</v>
      </c>
      <c r="W48">
        <v>5</v>
      </c>
      <c r="X48" s="8" t="str">
        <f t="shared" si="6"/>
        <v/>
      </c>
      <c r="Y48" s="8" t="str">
        <f t="shared" si="7"/>
        <v/>
      </c>
    </row>
    <row r="49" spans="3:25" x14ac:dyDescent="0.25">
      <c r="C49">
        <v>40</v>
      </c>
      <c r="D49">
        <v>2</v>
      </c>
      <c r="E49">
        <v>1</v>
      </c>
      <c r="F49" s="8">
        <f t="shared" si="0"/>
        <v>0.25582504733083894</v>
      </c>
      <c r="G49" s="8">
        <f t="shared" si="1"/>
        <v>2</v>
      </c>
      <c r="I49">
        <v>50</v>
      </c>
      <c r="J49">
        <v>71</v>
      </c>
      <c r="K49">
        <v>2</v>
      </c>
      <c r="L49" s="8">
        <f t="shared" si="2"/>
        <v>1369</v>
      </c>
      <c r="M49" s="8">
        <f t="shared" si="3"/>
        <v>71</v>
      </c>
      <c r="O49">
        <v>102</v>
      </c>
      <c r="P49">
        <v>27</v>
      </c>
      <c r="Q49">
        <v>3</v>
      </c>
      <c r="R49" s="8">
        <f t="shared" si="4"/>
        <v>650.54540033690614</v>
      </c>
      <c r="S49" s="8">
        <f t="shared" si="5"/>
        <v>27</v>
      </c>
      <c r="U49">
        <v>238</v>
      </c>
      <c r="V49">
        <v>26</v>
      </c>
      <c r="W49">
        <v>5</v>
      </c>
      <c r="X49" s="8" t="str">
        <f t="shared" si="6"/>
        <v/>
      </c>
      <c r="Y49" s="8" t="str">
        <f t="shared" si="7"/>
        <v/>
      </c>
    </row>
    <row r="50" spans="3:25" x14ac:dyDescent="0.25">
      <c r="C50">
        <v>41</v>
      </c>
      <c r="D50">
        <v>1</v>
      </c>
      <c r="E50">
        <v>2</v>
      </c>
      <c r="F50" s="8" t="str">
        <f t="shared" si="0"/>
        <v/>
      </c>
      <c r="G50" s="8" t="str">
        <f t="shared" si="1"/>
        <v/>
      </c>
      <c r="I50">
        <v>51</v>
      </c>
      <c r="J50">
        <v>27</v>
      </c>
      <c r="K50">
        <v>2</v>
      </c>
      <c r="L50" s="8">
        <f t="shared" si="2"/>
        <v>49</v>
      </c>
      <c r="M50" s="8">
        <f t="shared" si="3"/>
        <v>27</v>
      </c>
      <c r="O50">
        <v>103</v>
      </c>
      <c r="P50">
        <v>6</v>
      </c>
      <c r="Q50">
        <v>3</v>
      </c>
      <c r="R50" s="8">
        <f t="shared" si="4"/>
        <v>20.302157093662885</v>
      </c>
      <c r="S50" s="8">
        <f t="shared" si="5"/>
        <v>6</v>
      </c>
      <c r="U50">
        <v>242</v>
      </c>
      <c r="V50">
        <v>77</v>
      </c>
      <c r="W50">
        <v>5</v>
      </c>
      <c r="X50" s="8" t="str">
        <f t="shared" si="6"/>
        <v/>
      </c>
      <c r="Y50" s="8" t="str">
        <f t="shared" si="7"/>
        <v/>
      </c>
    </row>
    <row r="51" spans="3:25" x14ac:dyDescent="0.25">
      <c r="C51">
        <v>42</v>
      </c>
      <c r="D51">
        <v>2</v>
      </c>
      <c r="E51">
        <v>1</v>
      </c>
      <c r="F51" s="8">
        <f t="shared" si="0"/>
        <v>0.25582504733083894</v>
      </c>
      <c r="G51" s="8">
        <f t="shared" si="1"/>
        <v>2</v>
      </c>
      <c r="I51">
        <v>52</v>
      </c>
      <c r="J51">
        <v>13</v>
      </c>
      <c r="K51">
        <v>4</v>
      </c>
      <c r="L51" s="8" t="str">
        <f t="shared" si="2"/>
        <v/>
      </c>
      <c r="M51" s="8" t="str">
        <f t="shared" si="3"/>
        <v/>
      </c>
      <c r="O51">
        <v>104</v>
      </c>
      <c r="P51">
        <v>2</v>
      </c>
      <c r="Q51">
        <v>3</v>
      </c>
      <c r="R51" s="8">
        <f t="shared" si="4"/>
        <v>0.25582504733083894</v>
      </c>
      <c r="S51" s="8">
        <f t="shared" si="5"/>
        <v>2</v>
      </c>
      <c r="U51">
        <v>243</v>
      </c>
      <c r="V51">
        <v>11</v>
      </c>
      <c r="W51">
        <v>4</v>
      </c>
      <c r="X51" s="8">
        <f t="shared" si="6"/>
        <v>90.360072151577967</v>
      </c>
      <c r="Y51" s="8">
        <f t="shared" si="7"/>
        <v>11</v>
      </c>
    </row>
    <row r="52" spans="3:25" x14ac:dyDescent="0.25">
      <c r="C52">
        <v>43</v>
      </c>
      <c r="D52">
        <v>2</v>
      </c>
      <c r="E52">
        <v>1</v>
      </c>
      <c r="F52" s="8">
        <f t="shared" si="0"/>
        <v>0.25582504733083894</v>
      </c>
      <c r="G52" s="8">
        <f t="shared" si="1"/>
        <v>2</v>
      </c>
      <c r="I52">
        <v>53</v>
      </c>
      <c r="J52">
        <v>17</v>
      </c>
      <c r="K52">
        <v>5</v>
      </c>
      <c r="L52" s="8" t="str">
        <f t="shared" si="2"/>
        <v/>
      </c>
      <c r="M52" s="8" t="str">
        <f t="shared" si="3"/>
        <v/>
      </c>
      <c r="O52">
        <v>105</v>
      </c>
      <c r="P52">
        <v>12</v>
      </c>
      <c r="Q52">
        <v>5</v>
      </c>
      <c r="R52" s="8" t="str">
        <f t="shared" si="4"/>
        <v/>
      </c>
      <c r="S52" s="8" t="str">
        <f t="shared" si="5"/>
        <v/>
      </c>
      <c r="U52">
        <v>246</v>
      </c>
      <c r="V52">
        <v>23</v>
      </c>
      <c r="W52">
        <v>5</v>
      </c>
      <c r="X52" s="8" t="str">
        <f t="shared" si="6"/>
        <v/>
      </c>
      <c r="Y52" s="8" t="str">
        <f t="shared" si="7"/>
        <v/>
      </c>
    </row>
    <row r="53" spans="3:25" x14ac:dyDescent="0.25">
      <c r="C53">
        <v>44</v>
      </c>
      <c r="D53">
        <v>1</v>
      </c>
      <c r="E53">
        <v>1</v>
      </c>
      <c r="F53" s="8">
        <f t="shared" si="0"/>
        <v>0.24424203574782716</v>
      </c>
      <c r="G53" s="8">
        <f t="shared" si="1"/>
        <v>1</v>
      </c>
      <c r="I53">
        <v>56</v>
      </c>
      <c r="J53">
        <v>46</v>
      </c>
      <c r="K53">
        <v>2</v>
      </c>
      <c r="L53" s="8">
        <f t="shared" si="2"/>
        <v>144</v>
      </c>
      <c r="M53" s="8">
        <f t="shared" si="3"/>
        <v>46</v>
      </c>
      <c r="O53">
        <v>114</v>
      </c>
      <c r="P53">
        <v>14</v>
      </c>
      <c r="Q53">
        <v>4</v>
      </c>
      <c r="R53" s="8" t="str">
        <f t="shared" si="4"/>
        <v/>
      </c>
      <c r="S53" s="8" t="str">
        <f t="shared" si="5"/>
        <v/>
      </c>
      <c r="U53">
        <v>255</v>
      </c>
      <c r="V53">
        <v>13</v>
      </c>
      <c r="W53">
        <v>4</v>
      </c>
      <c r="X53" s="8">
        <f t="shared" si="6"/>
        <v>132.38323817474398</v>
      </c>
      <c r="Y53" s="8">
        <f t="shared" si="7"/>
        <v>13</v>
      </c>
    </row>
    <row r="54" spans="3:25" x14ac:dyDescent="0.25">
      <c r="C54">
        <v>45</v>
      </c>
      <c r="D54">
        <v>4</v>
      </c>
      <c r="E54">
        <v>1</v>
      </c>
      <c r="F54" s="8">
        <f t="shared" si="0"/>
        <v>6.2789910704968621</v>
      </c>
      <c r="G54" s="8">
        <f t="shared" si="1"/>
        <v>4</v>
      </c>
      <c r="I54">
        <v>58</v>
      </c>
      <c r="J54">
        <v>1</v>
      </c>
      <c r="K54">
        <v>3</v>
      </c>
      <c r="L54" s="8" t="str">
        <f t="shared" si="2"/>
        <v/>
      </c>
      <c r="M54" s="8" t="str">
        <f t="shared" si="3"/>
        <v/>
      </c>
      <c r="O54">
        <v>117</v>
      </c>
      <c r="P54">
        <v>30</v>
      </c>
      <c r="Q54">
        <v>3</v>
      </c>
      <c r="R54" s="8">
        <f t="shared" si="4"/>
        <v>812.58014937165524</v>
      </c>
      <c r="S54" s="8">
        <f t="shared" si="5"/>
        <v>30</v>
      </c>
      <c r="U54">
        <v>259</v>
      </c>
      <c r="V54">
        <v>48</v>
      </c>
      <c r="W54">
        <v>5</v>
      </c>
      <c r="X54" s="8" t="str">
        <f t="shared" si="6"/>
        <v/>
      </c>
      <c r="Y54" s="8" t="str">
        <f t="shared" si="7"/>
        <v/>
      </c>
    </row>
    <row r="55" spans="3:25" x14ac:dyDescent="0.25">
      <c r="C55">
        <v>46</v>
      </c>
      <c r="D55">
        <v>1</v>
      </c>
      <c r="E55">
        <v>1</v>
      </c>
      <c r="F55" s="8">
        <f t="shared" si="0"/>
        <v>0.24424203574782716</v>
      </c>
      <c r="G55" s="8">
        <f t="shared" si="1"/>
        <v>1</v>
      </c>
      <c r="I55">
        <v>60</v>
      </c>
      <c r="J55">
        <v>30</v>
      </c>
      <c r="K55">
        <v>3</v>
      </c>
      <c r="L55" s="8" t="str">
        <f t="shared" si="2"/>
        <v/>
      </c>
      <c r="M55" s="8" t="str">
        <f t="shared" si="3"/>
        <v/>
      </c>
      <c r="O55">
        <v>118</v>
      </c>
      <c r="P55">
        <v>39</v>
      </c>
      <c r="Q55">
        <v>3</v>
      </c>
      <c r="R55" s="8">
        <f t="shared" si="4"/>
        <v>1406.6843964759023</v>
      </c>
      <c r="S55" s="8">
        <f t="shared" si="5"/>
        <v>39</v>
      </c>
      <c r="U55">
        <v>270</v>
      </c>
      <c r="V55">
        <v>18</v>
      </c>
      <c r="W55">
        <v>5</v>
      </c>
      <c r="X55" s="8" t="str">
        <f t="shared" si="6"/>
        <v/>
      </c>
      <c r="Y55" s="8" t="str">
        <f t="shared" si="7"/>
        <v/>
      </c>
    </row>
    <row r="56" spans="3:25" x14ac:dyDescent="0.25">
      <c r="C56">
        <v>47</v>
      </c>
      <c r="D56">
        <v>1</v>
      </c>
      <c r="E56">
        <v>1</v>
      </c>
      <c r="F56" s="8">
        <f t="shared" si="0"/>
        <v>0.24424203574782716</v>
      </c>
      <c r="G56" s="8">
        <f t="shared" si="1"/>
        <v>1</v>
      </c>
      <c r="I56">
        <v>62</v>
      </c>
      <c r="J56">
        <v>119</v>
      </c>
      <c r="K56">
        <v>3</v>
      </c>
      <c r="L56" s="8" t="str">
        <f t="shared" si="2"/>
        <v/>
      </c>
      <c r="M56" s="8" t="str">
        <f t="shared" si="3"/>
        <v/>
      </c>
      <c r="O56">
        <v>119</v>
      </c>
      <c r="P56">
        <v>4</v>
      </c>
      <c r="Q56">
        <v>3</v>
      </c>
      <c r="R56" s="8">
        <f t="shared" si="4"/>
        <v>6.2789910704968621</v>
      </c>
      <c r="S56" s="8">
        <f t="shared" si="5"/>
        <v>4</v>
      </c>
      <c r="U56">
        <v>271</v>
      </c>
      <c r="V56">
        <v>36</v>
      </c>
      <c r="W56">
        <v>5</v>
      </c>
      <c r="X56" s="8" t="str">
        <f t="shared" si="6"/>
        <v/>
      </c>
      <c r="Y56" s="8" t="str">
        <f t="shared" si="7"/>
        <v/>
      </c>
    </row>
    <row r="57" spans="3:25" x14ac:dyDescent="0.25">
      <c r="C57">
        <v>48</v>
      </c>
      <c r="D57">
        <v>1</v>
      </c>
      <c r="E57">
        <v>1</v>
      </c>
      <c r="F57" s="8">
        <f t="shared" si="0"/>
        <v>0.24424203574782716</v>
      </c>
      <c r="G57" s="8">
        <f t="shared" si="1"/>
        <v>1</v>
      </c>
      <c r="I57">
        <v>63</v>
      </c>
      <c r="J57">
        <v>1</v>
      </c>
      <c r="K57">
        <v>2</v>
      </c>
      <c r="L57" s="8">
        <f t="shared" si="2"/>
        <v>1089</v>
      </c>
      <c r="M57" s="8">
        <f t="shared" si="3"/>
        <v>1</v>
      </c>
      <c r="O57">
        <v>121</v>
      </c>
      <c r="P57">
        <v>78</v>
      </c>
      <c r="Q57">
        <v>3</v>
      </c>
      <c r="R57" s="8">
        <f t="shared" si="4"/>
        <v>5853.13613392764</v>
      </c>
      <c r="S57" s="8">
        <f t="shared" si="5"/>
        <v>78</v>
      </c>
      <c r="U57">
        <v>273</v>
      </c>
      <c r="V57">
        <v>21</v>
      </c>
      <c r="W57">
        <v>5</v>
      </c>
      <c r="X57" s="8" t="str">
        <f t="shared" si="6"/>
        <v/>
      </c>
      <c r="Y57" s="8" t="str">
        <f t="shared" si="7"/>
        <v/>
      </c>
    </row>
    <row r="58" spans="3:25" x14ac:dyDescent="0.25">
      <c r="C58">
        <v>49</v>
      </c>
      <c r="D58">
        <v>1</v>
      </c>
      <c r="E58">
        <v>1</v>
      </c>
      <c r="F58" s="8">
        <f t="shared" si="0"/>
        <v>0.24424203574782716</v>
      </c>
      <c r="G58" s="8">
        <f t="shared" si="1"/>
        <v>1</v>
      </c>
      <c r="I58">
        <v>64</v>
      </c>
      <c r="J58">
        <v>200</v>
      </c>
      <c r="K58">
        <v>2</v>
      </c>
      <c r="L58" s="8">
        <f t="shared" si="2"/>
        <v>27556</v>
      </c>
      <c r="M58" s="8">
        <f t="shared" si="3"/>
        <v>200</v>
      </c>
      <c r="O58">
        <v>127</v>
      </c>
      <c r="P58">
        <v>141</v>
      </c>
      <c r="Q58">
        <v>3</v>
      </c>
      <c r="R58" s="8">
        <f t="shared" si="4"/>
        <v>19461.865863657371</v>
      </c>
      <c r="S58" s="8">
        <f t="shared" si="5"/>
        <v>141</v>
      </c>
      <c r="U58">
        <v>278</v>
      </c>
      <c r="V58">
        <v>1</v>
      </c>
      <c r="W58">
        <v>4</v>
      </c>
      <c r="X58" s="8">
        <f t="shared" si="6"/>
        <v>0.24424203574782716</v>
      </c>
      <c r="Y58" s="8">
        <f t="shared" si="7"/>
        <v>1</v>
      </c>
    </row>
    <row r="59" spans="3:25" x14ac:dyDescent="0.25">
      <c r="C59">
        <v>50</v>
      </c>
      <c r="D59">
        <v>1</v>
      </c>
      <c r="E59">
        <v>1</v>
      </c>
      <c r="F59" s="8">
        <f t="shared" si="0"/>
        <v>0.24424203574782716</v>
      </c>
      <c r="G59" s="8">
        <f t="shared" si="1"/>
        <v>1</v>
      </c>
      <c r="I59">
        <v>66</v>
      </c>
      <c r="J59">
        <v>1</v>
      </c>
      <c r="K59">
        <v>3</v>
      </c>
      <c r="L59" s="8" t="str">
        <f t="shared" si="2"/>
        <v/>
      </c>
      <c r="M59" s="8" t="str">
        <f t="shared" si="3"/>
        <v/>
      </c>
      <c r="O59">
        <v>128</v>
      </c>
      <c r="P59">
        <v>3</v>
      </c>
      <c r="Q59">
        <v>5</v>
      </c>
      <c r="R59" s="8" t="str">
        <f t="shared" si="4"/>
        <v/>
      </c>
      <c r="S59" s="8" t="str">
        <f t="shared" si="5"/>
        <v/>
      </c>
    </row>
    <row r="60" spans="3:25" x14ac:dyDescent="0.25">
      <c r="C60">
        <v>51</v>
      </c>
      <c r="D60">
        <v>1</v>
      </c>
      <c r="E60">
        <v>1</v>
      </c>
      <c r="F60" s="8">
        <f t="shared" si="0"/>
        <v>0.24424203574782716</v>
      </c>
      <c r="G60" s="8">
        <f t="shared" si="1"/>
        <v>1</v>
      </c>
      <c r="I60">
        <v>67</v>
      </c>
      <c r="J60">
        <v>48</v>
      </c>
      <c r="K60">
        <v>3</v>
      </c>
      <c r="L60" s="8" t="str">
        <f t="shared" si="2"/>
        <v/>
      </c>
      <c r="M60" s="8" t="str">
        <f t="shared" si="3"/>
        <v/>
      </c>
      <c r="O60">
        <v>132</v>
      </c>
      <c r="P60">
        <v>25</v>
      </c>
      <c r="Q60">
        <v>4</v>
      </c>
      <c r="R60" s="8" t="str">
        <f t="shared" si="4"/>
        <v/>
      </c>
      <c r="S60" s="8" t="str">
        <f t="shared" si="5"/>
        <v/>
      </c>
    </row>
    <row r="61" spans="3:25" x14ac:dyDescent="0.25">
      <c r="C61">
        <v>52</v>
      </c>
      <c r="D61">
        <v>1</v>
      </c>
      <c r="E61">
        <v>1</v>
      </c>
      <c r="F61" s="8">
        <f t="shared" si="0"/>
        <v>0.24424203574782716</v>
      </c>
      <c r="G61" s="8">
        <f t="shared" si="1"/>
        <v>1</v>
      </c>
      <c r="I61">
        <v>69</v>
      </c>
      <c r="J61">
        <v>19</v>
      </c>
      <c r="K61">
        <v>2</v>
      </c>
      <c r="L61" s="8">
        <f t="shared" si="2"/>
        <v>225</v>
      </c>
      <c r="M61" s="8">
        <f t="shared" si="3"/>
        <v>19</v>
      </c>
      <c r="O61">
        <v>133</v>
      </c>
      <c r="P61">
        <v>32</v>
      </c>
      <c r="Q61">
        <v>3</v>
      </c>
      <c r="R61" s="8">
        <f t="shared" si="4"/>
        <v>930.60331539482127</v>
      </c>
      <c r="S61" s="8">
        <f t="shared" si="5"/>
        <v>32</v>
      </c>
    </row>
    <row r="62" spans="3:25" x14ac:dyDescent="0.25">
      <c r="C62">
        <v>53</v>
      </c>
      <c r="D62">
        <v>1</v>
      </c>
      <c r="E62">
        <v>1</v>
      </c>
      <c r="F62" s="8">
        <f t="shared" si="0"/>
        <v>0.24424203574782716</v>
      </c>
      <c r="G62" s="8">
        <f t="shared" si="1"/>
        <v>1</v>
      </c>
      <c r="I62">
        <v>70</v>
      </c>
      <c r="J62">
        <v>17</v>
      </c>
      <c r="K62">
        <v>2</v>
      </c>
      <c r="L62" s="8">
        <f t="shared" si="2"/>
        <v>289</v>
      </c>
      <c r="M62" s="8">
        <f t="shared" si="3"/>
        <v>17</v>
      </c>
      <c r="O62">
        <v>135</v>
      </c>
      <c r="P62">
        <v>66</v>
      </c>
      <c r="Q62">
        <v>3</v>
      </c>
      <c r="R62" s="8">
        <f t="shared" si="4"/>
        <v>4160.9971377886441</v>
      </c>
      <c r="S62" s="8">
        <f t="shared" si="5"/>
        <v>66</v>
      </c>
    </row>
    <row r="63" spans="3:25" x14ac:dyDescent="0.25">
      <c r="C63">
        <v>54</v>
      </c>
      <c r="D63">
        <v>1</v>
      </c>
      <c r="E63">
        <v>1</v>
      </c>
      <c r="F63" s="8">
        <f t="shared" si="0"/>
        <v>0.24424203574782716</v>
      </c>
      <c r="G63" s="8">
        <f t="shared" si="1"/>
        <v>1</v>
      </c>
      <c r="I63">
        <v>71</v>
      </c>
      <c r="J63">
        <v>1</v>
      </c>
      <c r="K63">
        <v>4</v>
      </c>
      <c r="L63" s="8" t="str">
        <f t="shared" si="2"/>
        <v/>
      </c>
      <c r="M63" s="8" t="str">
        <f t="shared" si="3"/>
        <v/>
      </c>
      <c r="O63">
        <v>136</v>
      </c>
      <c r="P63">
        <v>57</v>
      </c>
      <c r="Q63">
        <v>3</v>
      </c>
      <c r="R63" s="8">
        <f t="shared" si="4"/>
        <v>3080.8928906843967</v>
      </c>
      <c r="S63" s="8">
        <f t="shared" si="5"/>
        <v>57</v>
      </c>
    </row>
    <row r="64" spans="3:25" x14ac:dyDescent="0.25">
      <c r="C64">
        <v>55</v>
      </c>
      <c r="D64">
        <v>1</v>
      </c>
      <c r="E64">
        <v>1</v>
      </c>
      <c r="F64" s="8">
        <f t="shared" si="0"/>
        <v>0.24424203574782716</v>
      </c>
      <c r="G64" s="8">
        <f t="shared" si="1"/>
        <v>1</v>
      </c>
      <c r="I64">
        <v>73</v>
      </c>
      <c r="J64">
        <v>30</v>
      </c>
      <c r="K64">
        <v>3</v>
      </c>
      <c r="L64" s="8" t="str">
        <f t="shared" si="2"/>
        <v/>
      </c>
      <c r="M64" s="8" t="str">
        <f t="shared" si="3"/>
        <v/>
      </c>
      <c r="O64">
        <v>137</v>
      </c>
      <c r="P64">
        <v>111</v>
      </c>
      <c r="Q64">
        <v>3</v>
      </c>
      <c r="R64" s="8">
        <f t="shared" si="4"/>
        <v>11991.51837330988</v>
      </c>
      <c r="S64" s="8">
        <f t="shared" si="5"/>
        <v>111</v>
      </c>
    </row>
    <row r="65" spans="3:19" x14ac:dyDescent="0.25">
      <c r="C65">
        <v>56</v>
      </c>
      <c r="D65">
        <v>1</v>
      </c>
      <c r="E65">
        <v>1</v>
      </c>
      <c r="F65" s="8">
        <f t="shared" si="0"/>
        <v>0.24424203574782716</v>
      </c>
      <c r="G65" s="8">
        <f t="shared" si="1"/>
        <v>1</v>
      </c>
      <c r="I65">
        <v>75</v>
      </c>
      <c r="J65">
        <v>42</v>
      </c>
      <c r="K65">
        <v>2</v>
      </c>
      <c r="L65" s="8">
        <f t="shared" si="2"/>
        <v>64</v>
      </c>
      <c r="M65" s="8">
        <f t="shared" si="3"/>
        <v>42</v>
      </c>
      <c r="O65">
        <v>138</v>
      </c>
      <c r="P65">
        <v>27</v>
      </c>
      <c r="Q65">
        <v>5</v>
      </c>
      <c r="R65" s="8" t="str">
        <f t="shared" si="4"/>
        <v/>
      </c>
      <c r="S65" s="8" t="str">
        <f t="shared" si="5"/>
        <v/>
      </c>
    </row>
    <row r="66" spans="3:19" x14ac:dyDescent="0.25">
      <c r="C66">
        <v>57</v>
      </c>
      <c r="D66">
        <v>1</v>
      </c>
      <c r="E66">
        <v>1</v>
      </c>
      <c r="F66" s="8">
        <f t="shared" si="0"/>
        <v>0.24424203574782716</v>
      </c>
      <c r="G66" s="8">
        <f t="shared" si="1"/>
        <v>1</v>
      </c>
      <c r="I66">
        <v>76</v>
      </c>
      <c r="J66">
        <v>1</v>
      </c>
      <c r="K66">
        <v>2</v>
      </c>
      <c r="L66" s="8">
        <f t="shared" si="2"/>
        <v>1089</v>
      </c>
      <c r="M66" s="8">
        <f t="shared" si="3"/>
        <v>1</v>
      </c>
      <c r="O66">
        <v>142</v>
      </c>
      <c r="P66">
        <v>50</v>
      </c>
      <c r="Q66">
        <v>3</v>
      </c>
      <c r="R66" s="8">
        <f t="shared" si="4"/>
        <v>2352.8118096033154</v>
      </c>
      <c r="S66" s="8">
        <f t="shared" si="5"/>
        <v>50</v>
      </c>
    </row>
    <row r="67" spans="3:19" x14ac:dyDescent="0.25">
      <c r="C67">
        <v>58</v>
      </c>
      <c r="D67">
        <v>1</v>
      </c>
      <c r="E67">
        <v>3</v>
      </c>
      <c r="F67" s="8" t="str">
        <f t="shared" si="0"/>
        <v/>
      </c>
      <c r="G67" s="8" t="str">
        <f t="shared" si="1"/>
        <v/>
      </c>
      <c r="I67">
        <v>77</v>
      </c>
      <c r="J67">
        <v>1</v>
      </c>
      <c r="K67">
        <v>2</v>
      </c>
      <c r="L67" s="8">
        <f t="shared" si="2"/>
        <v>1089</v>
      </c>
      <c r="M67" s="8">
        <f t="shared" si="3"/>
        <v>1</v>
      </c>
      <c r="O67">
        <v>143</v>
      </c>
      <c r="P67">
        <v>1</v>
      </c>
      <c r="Q67">
        <v>3</v>
      </c>
      <c r="R67" s="8">
        <f t="shared" si="4"/>
        <v>0.24424203574782716</v>
      </c>
      <c r="S67" s="8">
        <f t="shared" si="5"/>
        <v>1</v>
      </c>
    </row>
    <row r="68" spans="3:19" x14ac:dyDescent="0.25">
      <c r="C68">
        <v>59</v>
      </c>
      <c r="D68">
        <v>16</v>
      </c>
      <c r="E68">
        <v>1</v>
      </c>
      <c r="F68" s="8">
        <f t="shared" si="0"/>
        <v>210.41798720949302</v>
      </c>
      <c r="G68" s="8">
        <f t="shared" si="1"/>
        <v>16</v>
      </c>
      <c r="I68">
        <v>81</v>
      </c>
      <c r="J68">
        <v>37</v>
      </c>
      <c r="K68">
        <v>2</v>
      </c>
      <c r="L68" s="8">
        <f t="shared" si="2"/>
        <v>9</v>
      </c>
      <c r="M68" s="8">
        <f t="shared" si="3"/>
        <v>37</v>
      </c>
      <c r="O68">
        <v>148</v>
      </c>
      <c r="P68">
        <v>37</v>
      </c>
      <c r="Q68">
        <v>3</v>
      </c>
      <c r="R68" s="8">
        <f t="shared" si="4"/>
        <v>1260.6612304527364</v>
      </c>
      <c r="S68" s="8">
        <f t="shared" si="5"/>
        <v>37</v>
      </c>
    </row>
    <row r="69" spans="3:19" x14ac:dyDescent="0.25">
      <c r="C69">
        <v>60</v>
      </c>
      <c r="D69">
        <v>1</v>
      </c>
      <c r="E69">
        <v>1</v>
      </c>
      <c r="F69" s="8">
        <f t="shared" si="0"/>
        <v>0.24424203574782716</v>
      </c>
      <c r="G69" s="8">
        <f t="shared" si="1"/>
        <v>1</v>
      </c>
      <c r="I69">
        <v>82</v>
      </c>
      <c r="J69">
        <v>14</v>
      </c>
      <c r="K69">
        <v>2</v>
      </c>
      <c r="L69" s="8">
        <f t="shared" si="2"/>
        <v>400</v>
      </c>
      <c r="M69" s="8">
        <f t="shared" si="3"/>
        <v>14</v>
      </c>
      <c r="O69">
        <v>150</v>
      </c>
      <c r="P69">
        <v>102</v>
      </c>
      <c r="Q69">
        <v>3</v>
      </c>
      <c r="R69" s="8">
        <f t="shared" si="4"/>
        <v>10101.414126205633</v>
      </c>
      <c r="S69" s="8">
        <f t="shared" si="5"/>
        <v>102</v>
      </c>
    </row>
    <row r="70" spans="3:19" x14ac:dyDescent="0.25">
      <c r="C70">
        <v>61</v>
      </c>
      <c r="D70">
        <v>1</v>
      </c>
      <c r="E70">
        <v>1</v>
      </c>
      <c r="F70" s="8">
        <f t="shared" si="0"/>
        <v>0.24424203574782716</v>
      </c>
      <c r="G70" s="8">
        <f t="shared" si="1"/>
        <v>1</v>
      </c>
      <c r="I70">
        <v>83</v>
      </c>
      <c r="J70">
        <v>39</v>
      </c>
      <c r="K70">
        <v>2</v>
      </c>
      <c r="L70" s="8">
        <f t="shared" si="2"/>
        <v>25</v>
      </c>
      <c r="M70" s="8">
        <f t="shared" si="3"/>
        <v>39</v>
      </c>
      <c r="O70">
        <v>152</v>
      </c>
      <c r="P70">
        <v>24</v>
      </c>
      <c r="Q70">
        <v>4</v>
      </c>
      <c r="R70" s="8" t="str">
        <f t="shared" si="4"/>
        <v/>
      </c>
      <c r="S70" s="8" t="str">
        <f t="shared" si="5"/>
        <v/>
      </c>
    </row>
    <row r="71" spans="3:19" x14ac:dyDescent="0.25">
      <c r="C71">
        <v>62</v>
      </c>
      <c r="D71">
        <v>4</v>
      </c>
      <c r="E71">
        <v>1</v>
      </c>
      <c r="F71" s="8">
        <f t="shared" si="0"/>
        <v>6.2789910704968621</v>
      </c>
      <c r="G71" s="8">
        <f t="shared" si="1"/>
        <v>4</v>
      </c>
      <c r="I71">
        <v>84</v>
      </c>
      <c r="J71">
        <v>19</v>
      </c>
      <c r="K71">
        <v>3</v>
      </c>
      <c r="L71" s="8" t="str">
        <f t="shared" si="2"/>
        <v/>
      </c>
      <c r="M71" s="8" t="str">
        <f t="shared" si="3"/>
        <v/>
      </c>
      <c r="O71">
        <v>154</v>
      </c>
      <c r="P71">
        <v>68</v>
      </c>
      <c r="Q71">
        <v>3</v>
      </c>
      <c r="R71" s="8">
        <f t="shared" si="4"/>
        <v>4423.0203038118098</v>
      </c>
      <c r="S71" s="8">
        <f t="shared" si="5"/>
        <v>68</v>
      </c>
    </row>
    <row r="72" spans="3:19" x14ac:dyDescent="0.25">
      <c r="C72">
        <v>63</v>
      </c>
      <c r="D72">
        <v>1</v>
      </c>
      <c r="E72">
        <v>2</v>
      </c>
      <c r="F72" s="8" t="str">
        <f t="shared" si="0"/>
        <v/>
      </c>
      <c r="G72" s="8" t="str">
        <f t="shared" si="1"/>
        <v/>
      </c>
      <c r="I72">
        <v>85</v>
      </c>
      <c r="J72">
        <v>18</v>
      </c>
      <c r="K72">
        <v>2</v>
      </c>
      <c r="L72" s="8">
        <f t="shared" si="2"/>
        <v>256</v>
      </c>
      <c r="M72" s="8">
        <f t="shared" si="3"/>
        <v>18</v>
      </c>
      <c r="O72">
        <v>157</v>
      </c>
      <c r="P72">
        <v>69</v>
      </c>
      <c r="Q72">
        <v>5</v>
      </c>
      <c r="R72" s="8" t="str">
        <f t="shared" si="4"/>
        <v/>
      </c>
      <c r="S72" s="8" t="str">
        <f t="shared" si="5"/>
        <v/>
      </c>
    </row>
    <row r="73" spans="3:19" x14ac:dyDescent="0.25">
      <c r="C73">
        <v>64</v>
      </c>
      <c r="D73">
        <v>2</v>
      </c>
      <c r="E73">
        <v>1</v>
      </c>
      <c r="F73" s="8">
        <f t="shared" si="0"/>
        <v>0.25582504733083894</v>
      </c>
      <c r="G73" s="8">
        <f t="shared" si="1"/>
        <v>2</v>
      </c>
      <c r="I73">
        <v>88</v>
      </c>
      <c r="J73">
        <v>1</v>
      </c>
      <c r="K73">
        <v>2</v>
      </c>
      <c r="L73" s="8">
        <f t="shared" si="2"/>
        <v>1089</v>
      </c>
      <c r="M73" s="8">
        <f t="shared" si="3"/>
        <v>1</v>
      </c>
      <c r="O73">
        <v>159</v>
      </c>
      <c r="P73">
        <v>37</v>
      </c>
      <c r="Q73">
        <v>3</v>
      </c>
      <c r="R73" s="8">
        <f t="shared" si="4"/>
        <v>1260.6612304527364</v>
      </c>
      <c r="S73" s="8">
        <f t="shared" si="5"/>
        <v>37</v>
      </c>
    </row>
    <row r="74" spans="3:19" x14ac:dyDescent="0.25">
      <c r="C74">
        <v>65</v>
      </c>
      <c r="D74">
        <v>1</v>
      </c>
      <c r="E74">
        <v>1</v>
      </c>
      <c r="F74" s="8">
        <f t="shared" ref="F74:F137" si="10">IF(E74=1,(D74-$D$2)*(D74-$D$2),"")</f>
        <v>0.24424203574782716</v>
      </c>
      <c r="G74" s="8">
        <f t="shared" ref="G74:G137" si="11">IF(E74=1,D74,"")</f>
        <v>1</v>
      </c>
      <c r="I74">
        <v>89</v>
      </c>
      <c r="J74">
        <v>51</v>
      </c>
      <c r="K74">
        <v>3</v>
      </c>
      <c r="L74" s="8" t="str">
        <f t="shared" ref="L74:L137" si="12">IF(K74=2,(J74-$J$2)*(J74-$J$2),"")</f>
        <v/>
      </c>
      <c r="M74" s="8" t="str">
        <f t="shared" ref="M74:M137" si="13">IF(K74=2,J74,"")</f>
        <v/>
      </c>
      <c r="O74">
        <v>160</v>
      </c>
      <c r="P74">
        <v>47</v>
      </c>
      <c r="Q74">
        <v>3</v>
      </c>
      <c r="R74" s="8">
        <f t="shared" ref="R74:R130" si="14">IF(Q74=3,(P74-$D$2)*(P74-$D$2),"")</f>
        <v>2070.7770605685664</v>
      </c>
      <c r="S74" s="8">
        <f t="shared" ref="S74:S130" si="15">IF(Q74=3,P74,"")</f>
        <v>47</v>
      </c>
    </row>
    <row r="75" spans="3:19" x14ac:dyDescent="0.25">
      <c r="C75">
        <v>66</v>
      </c>
      <c r="D75">
        <v>1</v>
      </c>
      <c r="E75">
        <v>3</v>
      </c>
      <c r="F75" s="8" t="str">
        <f t="shared" si="10"/>
        <v/>
      </c>
      <c r="G75" s="8" t="str">
        <f t="shared" si="11"/>
        <v/>
      </c>
      <c r="I75">
        <v>90</v>
      </c>
      <c r="J75">
        <v>10</v>
      </c>
      <c r="K75">
        <v>2</v>
      </c>
      <c r="L75" s="8">
        <f t="shared" si="12"/>
        <v>576</v>
      </c>
      <c r="M75" s="8">
        <f t="shared" si="13"/>
        <v>10</v>
      </c>
      <c r="O75">
        <v>163</v>
      </c>
      <c r="P75">
        <v>6</v>
      </c>
      <c r="Q75">
        <v>5</v>
      </c>
      <c r="R75" s="8" t="str">
        <f t="shared" si="14"/>
        <v/>
      </c>
      <c r="S75" s="8" t="str">
        <f t="shared" si="15"/>
        <v/>
      </c>
    </row>
    <row r="76" spans="3:19" x14ac:dyDescent="0.25">
      <c r="C76">
        <v>67</v>
      </c>
      <c r="D76">
        <v>1</v>
      </c>
      <c r="E76">
        <v>1</v>
      </c>
      <c r="F76" s="8">
        <f t="shared" si="10"/>
        <v>0.24424203574782716</v>
      </c>
      <c r="G76" s="8">
        <f t="shared" si="11"/>
        <v>1</v>
      </c>
      <c r="I76">
        <v>91</v>
      </c>
      <c r="J76">
        <v>84</v>
      </c>
      <c r="K76">
        <v>2</v>
      </c>
      <c r="L76" s="8">
        <f t="shared" si="12"/>
        <v>2500</v>
      </c>
      <c r="M76" s="8">
        <f t="shared" si="13"/>
        <v>84</v>
      </c>
      <c r="O76">
        <v>164</v>
      </c>
      <c r="P76">
        <v>78</v>
      </c>
      <c r="Q76">
        <v>3</v>
      </c>
      <c r="R76" s="8">
        <f t="shared" si="14"/>
        <v>5853.13613392764</v>
      </c>
      <c r="S76" s="8">
        <f t="shared" si="15"/>
        <v>78</v>
      </c>
    </row>
    <row r="77" spans="3:19" x14ac:dyDescent="0.25">
      <c r="C77">
        <v>68</v>
      </c>
      <c r="D77">
        <v>1</v>
      </c>
      <c r="E77">
        <v>1</v>
      </c>
      <c r="F77" s="8">
        <f t="shared" si="10"/>
        <v>0.24424203574782716</v>
      </c>
      <c r="G77" s="8">
        <f t="shared" si="11"/>
        <v>1</v>
      </c>
      <c r="I77">
        <v>92</v>
      </c>
      <c r="J77">
        <v>112</v>
      </c>
      <c r="K77">
        <v>2</v>
      </c>
      <c r="L77" s="8">
        <f t="shared" si="12"/>
        <v>6084</v>
      </c>
      <c r="M77" s="8">
        <f t="shared" si="13"/>
        <v>112</v>
      </c>
      <c r="O77">
        <v>166</v>
      </c>
      <c r="P77">
        <v>6</v>
      </c>
      <c r="Q77">
        <v>3</v>
      </c>
      <c r="R77" s="8">
        <f t="shared" si="14"/>
        <v>20.302157093662885</v>
      </c>
      <c r="S77" s="8">
        <f t="shared" si="15"/>
        <v>6</v>
      </c>
    </row>
    <row r="78" spans="3:19" x14ac:dyDescent="0.25">
      <c r="C78">
        <v>69</v>
      </c>
      <c r="D78">
        <v>1</v>
      </c>
      <c r="E78">
        <v>1</v>
      </c>
      <c r="F78" s="8">
        <f t="shared" si="10"/>
        <v>0.24424203574782716</v>
      </c>
      <c r="G78" s="8">
        <f t="shared" si="11"/>
        <v>1</v>
      </c>
      <c r="I78">
        <v>93</v>
      </c>
      <c r="J78">
        <v>10</v>
      </c>
      <c r="K78">
        <v>5</v>
      </c>
      <c r="L78" s="8" t="str">
        <f t="shared" si="12"/>
        <v/>
      </c>
      <c r="M78" s="8" t="str">
        <f t="shared" si="13"/>
        <v/>
      </c>
      <c r="O78">
        <v>167</v>
      </c>
      <c r="P78">
        <v>35</v>
      </c>
      <c r="Q78">
        <v>5</v>
      </c>
      <c r="R78" s="8" t="str">
        <f t="shared" si="14"/>
        <v/>
      </c>
      <c r="S78" s="8" t="str">
        <f t="shared" si="15"/>
        <v/>
      </c>
    </row>
    <row r="79" spans="3:19" x14ac:dyDescent="0.25">
      <c r="C79">
        <v>70</v>
      </c>
      <c r="D79">
        <v>1</v>
      </c>
      <c r="E79">
        <v>1</v>
      </c>
      <c r="F79" s="8">
        <f t="shared" si="10"/>
        <v>0.24424203574782716</v>
      </c>
      <c r="G79" s="8">
        <f t="shared" si="11"/>
        <v>1</v>
      </c>
      <c r="I79">
        <v>94</v>
      </c>
      <c r="J79">
        <v>24</v>
      </c>
      <c r="K79">
        <v>3</v>
      </c>
      <c r="L79" s="8" t="str">
        <f t="shared" si="12"/>
        <v/>
      </c>
      <c r="M79" s="8" t="str">
        <f t="shared" si="13"/>
        <v/>
      </c>
      <c r="O79">
        <v>168</v>
      </c>
      <c r="P79">
        <v>18</v>
      </c>
      <c r="Q79">
        <v>3</v>
      </c>
      <c r="R79" s="8">
        <f t="shared" si="14"/>
        <v>272.44115323265908</v>
      </c>
      <c r="S79" s="8">
        <f t="shared" si="15"/>
        <v>18</v>
      </c>
    </row>
    <row r="80" spans="3:19" x14ac:dyDescent="0.25">
      <c r="C80">
        <v>71</v>
      </c>
      <c r="D80">
        <v>1</v>
      </c>
      <c r="E80">
        <v>4</v>
      </c>
      <c r="F80" s="8" t="str">
        <f t="shared" si="10"/>
        <v/>
      </c>
      <c r="G80" s="8" t="str">
        <f t="shared" si="11"/>
        <v/>
      </c>
      <c r="I80">
        <v>96</v>
      </c>
      <c r="J80">
        <v>1</v>
      </c>
      <c r="K80">
        <v>3</v>
      </c>
      <c r="L80" s="8" t="str">
        <f t="shared" si="12"/>
        <v/>
      </c>
      <c r="M80" s="8" t="str">
        <f t="shared" si="13"/>
        <v/>
      </c>
      <c r="O80">
        <v>169</v>
      </c>
      <c r="P80">
        <v>12</v>
      </c>
      <c r="Q80">
        <v>3</v>
      </c>
      <c r="R80" s="8">
        <f t="shared" si="14"/>
        <v>110.37165516316098</v>
      </c>
      <c r="S80" s="8">
        <f t="shared" si="15"/>
        <v>12</v>
      </c>
    </row>
    <row r="81" spans="3:19" x14ac:dyDescent="0.25">
      <c r="C81">
        <v>72</v>
      </c>
      <c r="D81">
        <v>2</v>
      </c>
      <c r="E81">
        <v>1</v>
      </c>
      <c r="F81" s="8">
        <f t="shared" si="10"/>
        <v>0.25582504733083894</v>
      </c>
      <c r="G81" s="8">
        <f t="shared" si="11"/>
        <v>2</v>
      </c>
      <c r="I81">
        <v>98</v>
      </c>
      <c r="J81">
        <v>1</v>
      </c>
      <c r="K81">
        <v>2</v>
      </c>
      <c r="L81" s="8">
        <f t="shared" si="12"/>
        <v>1089</v>
      </c>
      <c r="M81" s="8">
        <f t="shared" si="13"/>
        <v>1</v>
      </c>
      <c r="O81">
        <v>173</v>
      </c>
      <c r="P81">
        <v>54</v>
      </c>
      <c r="Q81">
        <v>3</v>
      </c>
      <c r="R81" s="8">
        <f t="shared" si="14"/>
        <v>2756.8581416496477</v>
      </c>
      <c r="S81" s="8">
        <f t="shared" si="15"/>
        <v>54</v>
      </c>
    </row>
    <row r="82" spans="3:19" x14ac:dyDescent="0.25">
      <c r="C82">
        <v>73</v>
      </c>
      <c r="D82">
        <v>1</v>
      </c>
      <c r="E82">
        <v>1</v>
      </c>
      <c r="F82" s="8">
        <f t="shared" si="10"/>
        <v>0.24424203574782716</v>
      </c>
      <c r="G82" s="8">
        <f t="shared" si="11"/>
        <v>1</v>
      </c>
      <c r="I82">
        <v>99</v>
      </c>
      <c r="J82">
        <v>25</v>
      </c>
      <c r="K82">
        <v>3</v>
      </c>
      <c r="L82" s="8" t="str">
        <f t="shared" si="12"/>
        <v/>
      </c>
      <c r="M82" s="8" t="str">
        <f t="shared" si="13"/>
        <v/>
      </c>
      <c r="O82">
        <v>180</v>
      </c>
      <c r="P82">
        <v>27</v>
      </c>
      <c r="Q82">
        <v>3</v>
      </c>
      <c r="R82" s="8">
        <f t="shared" si="14"/>
        <v>650.54540033690614</v>
      </c>
      <c r="S82" s="8">
        <f t="shared" si="15"/>
        <v>27</v>
      </c>
    </row>
    <row r="83" spans="3:19" x14ac:dyDescent="0.25">
      <c r="C83">
        <v>74</v>
      </c>
      <c r="D83">
        <v>3</v>
      </c>
      <c r="E83">
        <v>1</v>
      </c>
      <c r="F83" s="8">
        <f t="shared" si="10"/>
        <v>2.2674080589138508</v>
      </c>
      <c r="G83" s="8">
        <f t="shared" si="11"/>
        <v>3</v>
      </c>
      <c r="I83">
        <v>100</v>
      </c>
      <c r="J83">
        <v>129</v>
      </c>
      <c r="K83">
        <v>2</v>
      </c>
      <c r="L83" s="8">
        <f t="shared" si="12"/>
        <v>9025</v>
      </c>
      <c r="M83" s="8">
        <f t="shared" si="13"/>
        <v>129</v>
      </c>
      <c r="O83">
        <v>181</v>
      </c>
      <c r="P83">
        <v>105</v>
      </c>
      <c r="Q83">
        <v>5</v>
      </c>
      <c r="R83" s="8" t="str">
        <f t="shared" si="14"/>
        <v/>
      </c>
      <c r="S83" s="8" t="str">
        <f t="shared" si="15"/>
        <v/>
      </c>
    </row>
    <row r="84" spans="3:19" x14ac:dyDescent="0.25">
      <c r="C84">
        <v>75</v>
      </c>
      <c r="D84">
        <v>1</v>
      </c>
      <c r="E84">
        <v>1</v>
      </c>
      <c r="F84" s="8">
        <f t="shared" si="10"/>
        <v>0.24424203574782716</v>
      </c>
      <c r="G84" s="8">
        <f t="shared" si="11"/>
        <v>1</v>
      </c>
      <c r="I84">
        <v>102</v>
      </c>
      <c r="J84">
        <v>27</v>
      </c>
      <c r="K84">
        <v>3</v>
      </c>
      <c r="L84" s="8" t="str">
        <f t="shared" si="12"/>
        <v/>
      </c>
      <c r="M84" s="8" t="str">
        <f t="shared" si="13"/>
        <v/>
      </c>
      <c r="O84">
        <v>186</v>
      </c>
      <c r="P84">
        <v>28</v>
      </c>
      <c r="Q84">
        <v>3</v>
      </c>
      <c r="R84" s="8">
        <f t="shared" si="14"/>
        <v>702.55698334848921</v>
      </c>
      <c r="S84" s="8">
        <f t="shared" si="15"/>
        <v>28</v>
      </c>
    </row>
    <row r="85" spans="3:19" x14ac:dyDescent="0.25">
      <c r="C85">
        <v>76</v>
      </c>
      <c r="D85">
        <v>1</v>
      </c>
      <c r="E85">
        <v>2</v>
      </c>
      <c r="F85" s="8" t="str">
        <f t="shared" si="10"/>
        <v/>
      </c>
      <c r="G85" s="8" t="str">
        <f t="shared" si="11"/>
        <v/>
      </c>
      <c r="I85">
        <v>103</v>
      </c>
      <c r="J85">
        <v>6</v>
      </c>
      <c r="K85">
        <v>3</v>
      </c>
      <c r="L85" s="8" t="str">
        <f t="shared" si="12"/>
        <v/>
      </c>
      <c r="M85" s="8" t="str">
        <f t="shared" si="13"/>
        <v/>
      </c>
      <c r="O85">
        <v>189</v>
      </c>
      <c r="P85">
        <v>99</v>
      </c>
      <c r="Q85">
        <v>3</v>
      </c>
      <c r="R85" s="8">
        <f t="shared" si="14"/>
        <v>9507.3793771708824</v>
      </c>
      <c r="S85" s="8">
        <f t="shared" si="15"/>
        <v>99</v>
      </c>
    </row>
    <row r="86" spans="3:19" x14ac:dyDescent="0.25">
      <c r="C86">
        <v>77</v>
      </c>
      <c r="D86">
        <v>1</v>
      </c>
      <c r="E86">
        <v>2</v>
      </c>
      <c r="F86" s="8" t="str">
        <f t="shared" si="10"/>
        <v/>
      </c>
      <c r="G86" s="8" t="str">
        <f t="shared" si="11"/>
        <v/>
      </c>
      <c r="I86">
        <v>104</v>
      </c>
      <c r="J86">
        <v>1</v>
      </c>
      <c r="K86">
        <v>2</v>
      </c>
      <c r="L86" s="8">
        <f t="shared" si="12"/>
        <v>1089</v>
      </c>
      <c r="M86" s="8">
        <f t="shared" si="13"/>
        <v>1</v>
      </c>
      <c r="O86">
        <v>191</v>
      </c>
      <c r="P86">
        <v>71</v>
      </c>
      <c r="Q86">
        <v>3</v>
      </c>
      <c r="R86" s="8">
        <f t="shared" si="14"/>
        <v>4831.0550528465592</v>
      </c>
      <c r="S86" s="8">
        <f t="shared" si="15"/>
        <v>71</v>
      </c>
    </row>
    <row r="87" spans="3:19" x14ac:dyDescent="0.25">
      <c r="C87">
        <v>78</v>
      </c>
      <c r="D87">
        <v>1</v>
      </c>
      <c r="E87">
        <v>1</v>
      </c>
      <c r="F87" s="8">
        <f t="shared" si="10"/>
        <v>0.24424203574782716</v>
      </c>
      <c r="G87" s="8">
        <f t="shared" si="11"/>
        <v>1</v>
      </c>
      <c r="I87">
        <v>105</v>
      </c>
      <c r="J87">
        <v>12</v>
      </c>
      <c r="K87">
        <v>5</v>
      </c>
      <c r="L87" s="8" t="str">
        <f t="shared" si="12"/>
        <v/>
      </c>
      <c r="M87" s="8" t="str">
        <f t="shared" si="13"/>
        <v/>
      </c>
      <c r="O87">
        <v>192</v>
      </c>
      <c r="P87">
        <v>25</v>
      </c>
      <c r="Q87">
        <v>3</v>
      </c>
      <c r="R87" s="8">
        <f t="shared" si="14"/>
        <v>552.52223431374011</v>
      </c>
      <c r="S87" s="8">
        <f t="shared" si="15"/>
        <v>25</v>
      </c>
    </row>
    <row r="88" spans="3:19" x14ac:dyDescent="0.25">
      <c r="C88">
        <v>79</v>
      </c>
      <c r="D88">
        <v>1</v>
      </c>
      <c r="E88">
        <v>1</v>
      </c>
      <c r="F88" s="8">
        <f t="shared" si="10"/>
        <v>0.24424203574782716</v>
      </c>
      <c r="G88" s="8">
        <f t="shared" si="11"/>
        <v>1</v>
      </c>
      <c r="I88">
        <v>107</v>
      </c>
      <c r="J88">
        <v>6</v>
      </c>
      <c r="K88">
        <v>2</v>
      </c>
      <c r="L88" s="8">
        <f t="shared" si="12"/>
        <v>784</v>
      </c>
      <c r="M88" s="8">
        <f t="shared" si="13"/>
        <v>6</v>
      </c>
      <c r="O88">
        <v>194</v>
      </c>
      <c r="P88">
        <v>118</v>
      </c>
      <c r="Q88">
        <v>4</v>
      </c>
      <c r="R88" s="8" t="str">
        <f t="shared" si="14"/>
        <v/>
      </c>
      <c r="S88" s="8" t="str">
        <f t="shared" si="15"/>
        <v/>
      </c>
    </row>
    <row r="89" spans="3:19" x14ac:dyDescent="0.25">
      <c r="C89">
        <v>80</v>
      </c>
      <c r="D89">
        <v>1</v>
      </c>
      <c r="E89">
        <v>1</v>
      </c>
      <c r="F89" s="8">
        <f t="shared" si="10"/>
        <v>0.24424203574782716</v>
      </c>
      <c r="G89" s="8">
        <f t="shared" si="11"/>
        <v>1</v>
      </c>
      <c r="I89">
        <v>108</v>
      </c>
      <c r="J89">
        <v>16</v>
      </c>
      <c r="K89">
        <v>2</v>
      </c>
      <c r="L89" s="8">
        <f t="shared" si="12"/>
        <v>324</v>
      </c>
      <c r="M89" s="8">
        <f t="shared" si="13"/>
        <v>16</v>
      </c>
      <c r="O89">
        <v>195</v>
      </c>
      <c r="P89">
        <v>8</v>
      </c>
      <c r="Q89">
        <v>5</v>
      </c>
      <c r="R89" s="8" t="str">
        <f t="shared" si="14"/>
        <v/>
      </c>
      <c r="S89" s="8" t="str">
        <f t="shared" si="15"/>
        <v/>
      </c>
    </row>
    <row r="90" spans="3:19" x14ac:dyDescent="0.25">
      <c r="C90">
        <v>81</v>
      </c>
      <c r="D90">
        <v>1</v>
      </c>
      <c r="E90">
        <v>1</v>
      </c>
      <c r="F90" s="8">
        <f t="shared" si="10"/>
        <v>0.24424203574782716</v>
      </c>
      <c r="G90" s="8">
        <f t="shared" si="11"/>
        <v>1</v>
      </c>
      <c r="I90">
        <v>109</v>
      </c>
      <c r="J90">
        <v>59</v>
      </c>
      <c r="K90">
        <v>2</v>
      </c>
      <c r="L90" s="8">
        <f t="shared" si="12"/>
        <v>625</v>
      </c>
      <c r="M90" s="8">
        <f t="shared" si="13"/>
        <v>59</v>
      </c>
      <c r="O90">
        <v>197</v>
      </c>
      <c r="P90">
        <v>6</v>
      </c>
      <c r="Q90">
        <v>3</v>
      </c>
      <c r="R90" s="8">
        <f t="shared" si="14"/>
        <v>20.302157093662885</v>
      </c>
      <c r="S90" s="8">
        <f t="shared" si="15"/>
        <v>6</v>
      </c>
    </row>
    <row r="91" spans="3:19" x14ac:dyDescent="0.25">
      <c r="C91">
        <v>82</v>
      </c>
      <c r="D91">
        <v>2</v>
      </c>
      <c r="E91">
        <v>1</v>
      </c>
      <c r="F91" s="8">
        <f t="shared" si="10"/>
        <v>0.25582504733083894</v>
      </c>
      <c r="G91" s="8">
        <f t="shared" si="11"/>
        <v>2</v>
      </c>
      <c r="I91">
        <v>110</v>
      </c>
      <c r="J91">
        <v>22</v>
      </c>
      <c r="K91">
        <v>2</v>
      </c>
      <c r="L91" s="8">
        <f t="shared" si="12"/>
        <v>144</v>
      </c>
      <c r="M91" s="8">
        <f t="shared" si="13"/>
        <v>22</v>
      </c>
      <c r="O91">
        <v>199</v>
      </c>
      <c r="P91">
        <v>108</v>
      </c>
      <c r="Q91">
        <v>4</v>
      </c>
      <c r="R91" s="8" t="str">
        <f t="shared" si="14"/>
        <v/>
      </c>
      <c r="S91" s="8" t="str">
        <f t="shared" si="15"/>
        <v/>
      </c>
    </row>
    <row r="92" spans="3:19" x14ac:dyDescent="0.25">
      <c r="C92">
        <v>83</v>
      </c>
      <c r="D92">
        <v>2</v>
      </c>
      <c r="E92">
        <v>1</v>
      </c>
      <c r="F92" s="8">
        <f t="shared" si="10"/>
        <v>0.25582504733083894</v>
      </c>
      <c r="G92" s="8">
        <f t="shared" si="11"/>
        <v>2</v>
      </c>
      <c r="I92">
        <v>111</v>
      </c>
      <c r="J92">
        <v>1</v>
      </c>
      <c r="K92">
        <v>2</v>
      </c>
      <c r="L92" s="8">
        <f t="shared" si="12"/>
        <v>1089</v>
      </c>
      <c r="M92" s="8">
        <f t="shared" si="13"/>
        <v>1</v>
      </c>
      <c r="O92">
        <v>200</v>
      </c>
      <c r="P92">
        <v>15</v>
      </c>
      <c r="Q92">
        <v>4</v>
      </c>
      <c r="R92" s="8" t="str">
        <f t="shared" si="14"/>
        <v/>
      </c>
      <c r="S92" s="8" t="str">
        <f t="shared" si="15"/>
        <v/>
      </c>
    </row>
    <row r="93" spans="3:19" x14ac:dyDescent="0.25">
      <c r="C93">
        <v>84</v>
      </c>
      <c r="D93">
        <v>1</v>
      </c>
      <c r="E93">
        <v>1</v>
      </c>
      <c r="F93" s="8">
        <f t="shared" si="10"/>
        <v>0.24424203574782716</v>
      </c>
      <c r="G93" s="8">
        <f t="shared" si="11"/>
        <v>1</v>
      </c>
      <c r="I93">
        <v>112</v>
      </c>
      <c r="J93">
        <v>11</v>
      </c>
      <c r="K93">
        <v>2</v>
      </c>
      <c r="L93" s="8">
        <f t="shared" si="12"/>
        <v>529</v>
      </c>
      <c r="M93" s="8">
        <f t="shared" si="13"/>
        <v>11</v>
      </c>
      <c r="O93">
        <v>201</v>
      </c>
      <c r="P93">
        <v>13</v>
      </c>
      <c r="Q93">
        <v>5</v>
      </c>
      <c r="R93" s="8" t="str">
        <f t="shared" si="14"/>
        <v/>
      </c>
      <c r="S93" s="8" t="str">
        <f t="shared" si="15"/>
        <v/>
      </c>
    </row>
    <row r="94" spans="3:19" x14ac:dyDescent="0.25">
      <c r="C94">
        <v>85</v>
      </c>
      <c r="D94">
        <v>1</v>
      </c>
      <c r="E94">
        <v>1</v>
      </c>
      <c r="F94" s="8">
        <f t="shared" si="10"/>
        <v>0.24424203574782716</v>
      </c>
      <c r="G94" s="8">
        <f t="shared" si="11"/>
        <v>1</v>
      </c>
      <c r="I94">
        <v>113</v>
      </c>
      <c r="J94">
        <v>22</v>
      </c>
      <c r="K94">
        <v>2</v>
      </c>
      <c r="L94" s="8">
        <f t="shared" si="12"/>
        <v>144</v>
      </c>
      <c r="M94" s="8">
        <f t="shared" si="13"/>
        <v>22</v>
      </c>
      <c r="O94">
        <v>204</v>
      </c>
      <c r="P94">
        <v>94</v>
      </c>
      <c r="Q94">
        <v>3</v>
      </c>
      <c r="R94" s="8">
        <f t="shared" si="14"/>
        <v>8557.3214621129682</v>
      </c>
      <c r="S94" s="8">
        <f t="shared" si="15"/>
        <v>94</v>
      </c>
    </row>
    <row r="95" spans="3:19" x14ac:dyDescent="0.25">
      <c r="C95">
        <v>86</v>
      </c>
      <c r="D95">
        <v>4</v>
      </c>
      <c r="E95">
        <v>1</v>
      </c>
      <c r="F95" s="8">
        <f t="shared" si="10"/>
        <v>6.2789910704968621</v>
      </c>
      <c r="G95" s="8">
        <f t="shared" si="11"/>
        <v>4</v>
      </c>
      <c r="I95">
        <v>114</v>
      </c>
      <c r="J95">
        <v>14</v>
      </c>
      <c r="K95">
        <v>4</v>
      </c>
      <c r="L95" s="8" t="str">
        <f t="shared" si="12"/>
        <v/>
      </c>
      <c r="M95" s="8" t="str">
        <f t="shared" si="13"/>
        <v/>
      </c>
      <c r="O95">
        <v>206</v>
      </c>
      <c r="P95">
        <v>36</v>
      </c>
      <c r="Q95">
        <v>4</v>
      </c>
      <c r="R95" s="8" t="str">
        <f t="shared" si="14"/>
        <v/>
      </c>
      <c r="S95" s="8" t="str">
        <f t="shared" si="15"/>
        <v/>
      </c>
    </row>
    <row r="96" spans="3:19" x14ac:dyDescent="0.25">
      <c r="C96">
        <v>87</v>
      </c>
      <c r="D96">
        <v>2</v>
      </c>
      <c r="E96">
        <v>1</v>
      </c>
      <c r="F96" s="8">
        <f t="shared" si="10"/>
        <v>0.25582504733083894</v>
      </c>
      <c r="G96" s="8">
        <f t="shared" si="11"/>
        <v>2</v>
      </c>
      <c r="I96">
        <v>115</v>
      </c>
      <c r="J96">
        <v>55</v>
      </c>
      <c r="K96">
        <v>2</v>
      </c>
      <c r="L96" s="8">
        <f t="shared" si="12"/>
        <v>441</v>
      </c>
      <c r="M96" s="8">
        <f t="shared" si="13"/>
        <v>55</v>
      </c>
      <c r="O96">
        <v>209</v>
      </c>
      <c r="P96">
        <v>8</v>
      </c>
      <c r="Q96">
        <v>3</v>
      </c>
      <c r="R96" s="8">
        <f t="shared" si="14"/>
        <v>42.325323116828912</v>
      </c>
      <c r="S96" s="8">
        <f t="shared" si="15"/>
        <v>8</v>
      </c>
    </row>
    <row r="97" spans="3:19" x14ac:dyDescent="0.25">
      <c r="C97">
        <v>88</v>
      </c>
      <c r="D97">
        <v>1</v>
      </c>
      <c r="E97">
        <v>2</v>
      </c>
      <c r="F97" s="8" t="str">
        <f t="shared" si="10"/>
        <v/>
      </c>
      <c r="G97" s="8" t="str">
        <f t="shared" si="11"/>
        <v/>
      </c>
      <c r="I97">
        <v>116</v>
      </c>
      <c r="J97">
        <v>35</v>
      </c>
      <c r="K97">
        <v>2</v>
      </c>
      <c r="L97" s="8">
        <f t="shared" si="12"/>
        <v>1</v>
      </c>
      <c r="M97" s="8">
        <f t="shared" si="13"/>
        <v>35</v>
      </c>
      <c r="O97">
        <v>213</v>
      </c>
      <c r="P97">
        <v>10</v>
      </c>
      <c r="Q97">
        <v>5</v>
      </c>
      <c r="R97" s="8" t="str">
        <f t="shared" si="14"/>
        <v/>
      </c>
      <c r="S97" s="8" t="str">
        <f t="shared" si="15"/>
        <v/>
      </c>
    </row>
    <row r="98" spans="3:19" x14ac:dyDescent="0.25">
      <c r="C98">
        <v>89</v>
      </c>
      <c r="D98">
        <v>1</v>
      </c>
      <c r="E98">
        <v>1</v>
      </c>
      <c r="F98" s="8">
        <f t="shared" si="10"/>
        <v>0.24424203574782716</v>
      </c>
      <c r="G98" s="8">
        <f t="shared" si="11"/>
        <v>1</v>
      </c>
      <c r="I98">
        <v>117</v>
      </c>
      <c r="J98">
        <v>30</v>
      </c>
      <c r="K98">
        <v>3</v>
      </c>
      <c r="L98" s="8" t="str">
        <f t="shared" si="12"/>
        <v/>
      </c>
      <c r="M98" s="8" t="str">
        <f t="shared" si="13"/>
        <v/>
      </c>
      <c r="O98">
        <v>220</v>
      </c>
      <c r="P98">
        <v>18</v>
      </c>
      <c r="Q98">
        <v>3</v>
      </c>
      <c r="R98" s="8">
        <f t="shared" si="14"/>
        <v>272.44115323265908</v>
      </c>
      <c r="S98" s="8">
        <f t="shared" si="15"/>
        <v>18</v>
      </c>
    </row>
    <row r="99" spans="3:19" x14ac:dyDescent="0.25">
      <c r="C99">
        <v>90</v>
      </c>
      <c r="D99">
        <v>1</v>
      </c>
      <c r="E99">
        <v>1</v>
      </c>
      <c r="F99" s="8">
        <f t="shared" si="10"/>
        <v>0.24424203574782716</v>
      </c>
      <c r="G99" s="8">
        <f t="shared" si="11"/>
        <v>1</v>
      </c>
      <c r="I99">
        <v>118</v>
      </c>
      <c r="J99">
        <v>39</v>
      </c>
      <c r="K99">
        <v>3</v>
      </c>
      <c r="L99" s="8" t="str">
        <f t="shared" si="12"/>
        <v/>
      </c>
      <c r="M99" s="8" t="str">
        <f t="shared" si="13"/>
        <v/>
      </c>
      <c r="O99">
        <v>222</v>
      </c>
      <c r="P99">
        <v>24</v>
      </c>
      <c r="Q99">
        <v>3</v>
      </c>
      <c r="R99" s="8">
        <f t="shared" si="14"/>
        <v>506.51065130215716</v>
      </c>
      <c r="S99" s="8">
        <f t="shared" si="15"/>
        <v>24</v>
      </c>
    </row>
    <row r="100" spans="3:19" x14ac:dyDescent="0.25">
      <c r="C100">
        <v>91</v>
      </c>
      <c r="D100">
        <v>1</v>
      </c>
      <c r="E100">
        <v>1</v>
      </c>
      <c r="F100" s="8">
        <f t="shared" si="10"/>
        <v>0.24424203574782716</v>
      </c>
      <c r="G100" s="8">
        <f t="shared" si="11"/>
        <v>1</v>
      </c>
      <c r="I100">
        <v>119</v>
      </c>
      <c r="J100">
        <v>1</v>
      </c>
      <c r="K100">
        <v>2</v>
      </c>
      <c r="L100" s="8">
        <f t="shared" si="12"/>
        <v>1089</v>
      </c>
      <c r="M100" s="8">
        <f t="shared" si="13"/>
        <v>1</v>
      </c>
      <c r="O100">
        <v>223</v>
      </c>
      <c r="P100">
        <v>30</v>
      </c>
      <c r="Q100">
        <v>3</v>
      </c>
      <c r="R100" s="8">
        <f t="shared" si="14"/>
        <v>812.58014937165524</v>
      </c>
      <c r="S100" s="8">
        <f t="shared" si="15"/>
        <v>30</v>
      </c>
    </row>
    <row r="101" spans="3:19" x14ac:dyDescent="0.25">
      <c r="C101">
        <v>92</v>
      </c>
      <c r="D101">
        <v>6</v>
      </c>
      <c r="E101">
        <v>1</v>
      </c>
      <c r="F101" s="8">
        <f t="shared" si="10"/>
        <v>20.302157093662885</v>
      </c>
      <c r="G101" s="8">
        <f t="shared" si="11"/>
        <v>6</v>
      </c>
      <c r="I101">
        <v>121</v>
      </c>
      <c r="J101">
        <v>78</v>
      </c>
      <c r="K101">
        <v>3</v>
      </c>
      <c r="L101" s="8" t="str">
        <f t="shared" si="12"/>
        <v/>
      </c>
      <c r="M101" s="8" t="str">
        <f t="shared" si="13"/>
        <v/>
      </c>
      <c r="O101">
        <v>224</v>
      </c>
      <c r="P101">
        <v>1</v>
      </c>
      <c r="Q101">
        <v>3</v>
      </c>
      <c r="R101" s="8">
        <f t="shared" si="14"/>
        <v>0.24424203574782716</v>
      </c>
      <c r="S101" s="8">
        <f t="shared" si="15"/>
        <v>1</v>
      </c>
    </row>
    <row r="102" spans="3:19" x14ac:dyDescent="0.25">
      <c r="C102">
        <v>93</v>
      </c>
      <c r="D102">
        <v>1</v>
      </c>
      <c r="E102">
        <v>1</v>
      </c>
      <c r="F102" s="8">
        <f t="shared" si="10"/>
        <v>0.24424203574782716</v>
      </c>
      <c r="G102" s="8">
        <f t="shared" si="11"/>
        <v>1</v>
      </c>
      <c r="I102">
        <v>122</v>
      </c>
      <c r="J102">
        <v>65</v>
      </c>
      <c r="K102">
        <v>2</v>
      </c>
      <c r="L102" s="8">
        <f t="shared" si="12"/>
        <v>961</v>
      </c>
      <c r="M102" s="8">
        <f t="shared" si="13"/>
        <v>65</v>
      </c>
      <c r="O102">
        <v>226</v>
      </c>
      <c r="P102">
        <v>26</v>
      </c>
      <c r="Q102">
        <v>3</v>
      </c>
      <c r="R102" s="8">
        <f t="shared" si="14"/>
        <v>600.53381732532318</v>
      </c>
      <c r="S102" s="8">
        <f t="shared" si="15"/>
        <v>26</v>
      </c>
    </row>
    <row r="103" spans="3:19" x14ac:dyDescent="0.25">
      <c r="C103">
        <v>94</v>
      </c>
      <c r="D103">
        <v>1</v>
      </c>
      <c r="E103">
        <v>1</v>
      </c>
      <c r="F103" s="8">
        <f t="shared" si="10"/>
        <v>0.24424203574782716</v>
      </c>
      <c r="G103" s="8">
        <f t="shared" si="11"/>
        <v>1</v>
      </c>
      <c r="I103">
        <v>125</v>
      </c>
      <c r="J103">
        <v>146</v>
      </c>
      <c r="K103">
        <v>2</v>
      </c>
      <c r="L103" s="8">
        <f t="shared" si="12"/>
        <v>12544</v>
      </c>
      <c r="M103" s="8">
        <f t="shared" si="13"/>
        <v>146</v>
      </c>
      <c r="O103">
        <v>229</v>
      </c>
      <c r="P103">
        <v>10</v>
      </c>
      <c r="Q103">
        <v>3</v>
      </c>
      <c r="R103" s="8">
        <f t="shared" si="14"/>
        <v>72.348489139994953</v>
      </c>
      <c r="S103" s="8">
        <f t="shared" si="15"/>
        <v>10</v>
      </c>
    </row>
    <row r="104" spans="3:19" x14ac:dyDescent="0.25">
      <c r="C104">
        <v>95</v>
      </c>
      <c r="D104">
        <v>1</v>
      </c>
      <c r="E104">
        <v>1</v>
      </c>
      <c r="F104" s="8">
        <f t="shared" si="10"/>
        <v>0.24424203574782716</v>
      </c>
      <c r="G104" s="8">
        <f t="shared" si="11"/>
        <v>1</v>
      </c>
      <c r="I104">
        <v>127</v>
      </c>
      <c r="J104">
        <v>141</v>
      </c>
      <c r="K104">
        <v>3</v>
      </c>
      <c r="L104" s="8" t="str">
        <f t="shared" si="12"/>
        <v/>
      </c>
      <c r="M104" s="8" t="str">
        <f t="shared" si="13"/>
        <v/>
      </c>
      <c r="O104">
        <v>230</v>
      </c>
      <c r="P104">
        <v>38</v>
      </c>
      <c r="Q104">
        <v>5</v>
      </c>
      <c r="R104" s="8" t="str">
        <f t="shared" si="14"/>
        <v/>
      </c>
      <c r="S104" s="8" t="str">
        <f t="shared" si="15"/>
        <v/>
      </c>
    </row>
    <row r="105" spans="3:19" x14ac:dyDescent="0.25">
      <c r="C105">
        <v>96</v>
      </c>
      <c r="D105">
        <v>1</v>
      </c>
      <c r="E105">
        <v>3</v>
      </c>
      <c r="F105" s="8" t="str">
        <f t="shared" si="10"/>
        <v/>
      </c>
      <c r="G105" s="8" t="str">
        <f t="shared" si="11"/>
        <v/>
      </c>
      <c r="I105">
        <v>128</v>
      </c>
      <c r="J105">
        <v>1</v>
      </c>
      <c r="K105">
        <v>2</v>
      </c>
      <c r="L105" s="8">
        <f t="shared" si="12"/>
        <v>1089</v>
      </c>
      <c r="M105" s="8">
        <f t="shared" si="13"/>
        <v>1</v>
      </c>
      <c r="O105">
        <v>232</v>
      </c>
      <c r="P105">
        <v>47</v>
      </c>
      <c r="Q105">
        <v>4</v>
      </c>
      <c r="R105" s="8" t="str">
        <f t="shared" si="14"/>
        <v/>
      </c>
      <c r="S105" s="8" t="str">
        <f t="shared" si="15"/>
        <v/>
      </c>
    </row>
    <row r="106" spans="3:19" x14ac:dyDescent="0.25">
      <c r="C106">
        <v>97</v>
      </c>
      <c r="D106">
        <v>1</v>
      </c>
      <c r="E106">
        <v>1</v>
      </c>
      <c r="F106" s="8">
        <f t="shared" si="10"/>
        <v>0.24424203574782716</v>
      </c>
      <c r="G106" s="8">
        <f t="shared" si="11"/>
        <v>1</v>
      </c>
      <c r="I106">
        <v>129</v>
      </c>
      <c r="J106">
        <v>9</v>
      </c>
      <c r="K106">
        <v>2</v>
      </c>
      <c r="L106" s="8">
        <f t="shared" si="12"/>
        <v>625</v>
      </c>
      <c r="M106" s="8">
        <f t="shared" si="13"/>
        <v>9</v>
      </c>
      <c r="O106">
        <v>233</v>
      </c>
      <c r="P106">
        <v>34</v>
      </c>
      <c r="Q106">
        <v>3</v>
      </c>
      <c r="R106" s="8">
        <f t="shared" si="14"/>
        <v>1056.6264814179872</v>
      </c>
      <c r="S106" s="8">
        <f t="shared" si="15"/>
        <v>34</v>
      </c>
    </row>
    <row r="107" spans="3:19" x14ac:dyDescent="0.25">
      <c r="C107">
        <v>98</v>
      </c>
      <c r="D107">
        <v>1</v>
      </c>
      <c r="E107">
        <v>2</v>
      </c>
      <c r="F107" s="8" t="str">
        <f t="shared" si="10"/>
        <v/>
      </c>
      <c r="G107" s="8" t="str">
        <f t="shared" si="11"/>
        <v/>
      </c>
      <c r="I107">
        <v>131</v>
      </c>
      <c r="J107">
        <v>92</v>
      </c>
      <c r="K107">
        <v>2</v>
      </c>
      <c r="L107" s="8">
        <f t="shared" si="12"/>
        <v>3364</v>
      </c>
      <c r="M107" s="8">
        <f t="shared" si="13"/>
        <v>92</v>
      </c>
      <c r="O107">
        <v>236</v>
      </c>
      <c r="P107">
        <v>51</v>
      </c>
      <c r="Q107">
        <v>5</v>
      </c>
      <c r="R107" s="8" t="str">
        <f t="shared" si="14"/>
        <v/>
      </c>
      <c r="S107" s="8" t="str">
        <f t="shared" si="15"/>
        <v/>
      </c>
    </row>
    <row r="108" spans="3:19" x14ac:dyDescent="0.25">
      <c r="C108">
        <v>99</v>
      </c>
      <c r="D108">
        <v>1</v>
      </c>
      <c r="E108">
        <v>1</v>
      </c>
      <c r="F108" s="8">
        <f t="shared" si="10"/>
        <v>0.24424203574782716</v>
      </c>
      <c r="G108" s="8">
        <f t="shared" si="11"/>
        <v>1</v>
      </c>
      <c r="I108">
        <v>132</v>
      </c>
      <c r="J108">
        <v>1</v>
      </c>
      <c r="K108">
        <v>2</v>
      </c>
      <c r="L108" s="8">
        <f t="shared" si="12"/>
        <v>1089</v>
      </c>
      <c r="M108" s="8">
        <f t="shared" si="13"/>
        <v>1</v>
      </c>
      <c r="O108">
        <v>238</v>
      </c>
      <c r="P108">
        <v>26</v>
      </c>
      <c r="Q108">
        <v>5</v>
      </c>
      <c r="R108" s="8" t="str">
        <f t="shared" si="14"/>
        <v/>
      </c>
      <c r="S108" s="8" t="str">
        <f t="shared" si="15"/>
        <v/>
      </c>
    </row>
    <row r="109" spans="3:19" x14ac:dyDescent="0.25">
      <c r="C109">
        <v>100</v>
      </c>
      <c r="D109">
        <v>3</v>
      </c>
      <c r="E109">
        <v>1</v>
      </c>
      <c r="F109" s="8">
        <f t="shared" si="10"/>
        <v>2.2674080589138508</v>
      </c>
      <c r="G109" s="8">
        <f t="shared" si="11"/>
        <v>3</v>
      </c>
      <c r="I109">
        <v>133</v>
      </c>
      <c r="J109">
        <v>32</v>
      </c>
      <c r="K109">
        <v>3</v>
      </c>
      <c r="L109" s="8" t="str">
        <f t="shared" si="12"/>
        <v/>
      </c>
      <c r="M109" s="8" t="str">
        <f t="shared" si="13"/>
        <v/>
      </c>
      <c r="O109">
        <v>242</v>
      </c>
      <c r="P109">
        <v>77</v>
      </c>
      <c r="Q109">
        <v>5</v>
      </c>
      <c r="R109" s="8" t="str">
        <f t="shared" si="14"/>
        <v/>
      </c>
      <c r="S109" s="8" t="str">
        <f t="shared" si="15"/>
        <v/>
      </c>
    </row>
    <row r="110" spans="3:19" x14ac:dyDescent="0.25">
      <c r="C110">
        <v>101</v>
      </c>
      <c r="D110">
        <v>1</v>
      </c>
      <c r="E110">
        <v>1</v>
      </c>
      <c r="F110" s="8">
        <f t="shared" si="10"/>
        <v>0.24424203574782716</v>
      </c>
      <c r="G110" s="8">
        <f t="shared" si="11"/>
        <v>1</v>
      </c>
      <c r="I110">
        <v>134</v>
      </c>
      <c r="J110">
        <v>17</v>
      </c>
      <c r="K110">
        <v>2</v>
      </c>
      <c r="L110" s="8">
        <f t="shared" si="12"/>
        <v>289</v>
      </c>
      <c r="M110" s="8">
        <f t="shared" si="13"/>
        <v>17</v>
      </c>
      <c r="O110">
        <v>243</v>
      </c>
      <c r="P110">
        <v>11</v>
      </c>
      <c r="Q110">
        <v>4</v>
      </c>
      <c r="R110" s="8" t="str">
        <f t="shared" si="14"/>
        <v/>
      </c>
      <c r="S110" s="8" t="str">
        <f t="shared" si="15"/>
        <v/>
      </c>
    </row>
    <row r="111" spans="3:19" x14ac:dyDescent="0.25">
      <c r="C111">
        <v>102</v>
      </c>
      <c r="D111">
        <v>1</v>
      </c>
      <c r="E111">
        <v>1</v>
      </c>
      <c r="F111" s="8">
        <f t="shared" si="10"/>
        <v>0.24424203574782716</v>
      </c>
      <c r="G111" s="8">
        <f t="shared" si="11"/>
        <v>1</v>
      </c>
      <c r="I111">
        <v>135</v>
      </c>
      <c r="J111">
        <v>66</v>
      </c>
      <c r="K111">
        <v>3</v>
      </c>
      <c r="L111" s="8" t="str">
        <f t="shared" si="12"/>
        <v/>
      </c>
      <c r="M111" s="8" t="str">
        <f t="shared" si="13"/>
        <v/>
      </c>
      <c r="O111">
        <v>246</v>
      </c>
      <c r="P111">
        <v>23</v>
      </c>
      <c r="Q111">
        <v>5</v>
      </c>
      <c r="R111" s="8" t="str">
        <f t="shared" si="14"/>
        <v/>
      </c>
      <c r="S111" s="8" t="str">
        <f t="shared" si="15"/>
        <v/>
      </c>
    </row>
    <row r="112" spans="3:19" x14ac:dyDescent="0.25">
      <c r="C112">
        <v>103</v>
      </c>
      <c r="D112">
        <v>1</v>
      </c>
      <c r="E112">
        <v>1</v>
      </c>
      <c r="F112" s="8">
        <f t="shared" si="10"/>
        <v>0.24424203574782716</v>
      </c>
      <c r="G112" s="8">
        <f t="shared" si="11"/>
        <v>1</v>
      </c>
      <c r="I112">
        <v>136</v>
      </c>
      <c r="J112">
        <v>57</v>
      </c>
      <c r="K112">
        <v>3</v>
      </c>
      <c r="L112" s="8" t="str">
        <f t="shared" si="12"/>
        <v/>
      </c>
      <c r="M112" s="8" t="str">
        <f t="shared" si="13"/>
        <v/>
      </c>
      <c r="O112">
        <v>250</v>
      </c>
      <c r="P112">
        <v>29</v>
      </c>
      <c r="Q112">
        <v>3</v>
      </c>
      <c r="R112" s="8">
        <f t="shared" si="14"/>
        <v>756.56856636007217</v>
      </c>
      <c r="S112" s="8">
        <f t="shared" si="15"/>
        <v>29</v>
      </c>
    </row>
    <row r="113" spans="3:19" x14ac:dyDescent="0.25">
      <c r="C113">
        <v>104</v>
      </c>
      <c r="D113">
        <v>1</v>
      </c>
      <c r="E113">
        <v>2</v>
      </c>
      <c r="F113" s="8" t="str">
        <f t="shared" si="10"/>
        <v/>
      </c>
      <c r="G113" s="8" t="str">
        <f t="shared" si="11"/>
        <v/>
      </c>
      <c r="I113">
        <v>137</v>
      </c>
      <c r="J113">
        <v>111</v>
      </c>
      <c r="K113">
        <v>3</v>
      </c>
      <c r="L113" s="8" t="str">
        <f t="shared" si="12"/>
        <v/>
      </c>
      <c r="M113" s="8" t="str">
        <f t="shared" si="13"/>
        <v/>
      </c>
      <c r="O113">
        <v>255</v>
      </c>
      <c r="P113">
        <v>13</v>
      </c>
      <c r="Q113">
        <v>4</v>
      </c>
      <c r="R113" s="8" t="str">
        <f t="shared" si="14"/>
        <v/>
      </c>
      <c r="S113" s="8" t="str">
        <f t="shared" si="15"/>
        <v/>
      </c>
    </row>
    <row r="114" spans="3:19" x14ac:dyDescent="0.25">
      <c r="C114">
        <v>105</v>
      </c>
      <c r="D114">
        <v>1</v>
      </c>
      <c r="E114">
        <v>1</v>
      </c>
      <c r="F114" s="8">
        <f t="shared" si="10"/>
        <v>0.24424203574782716</v>
      </c>
      <c r="G114" s="8">
        <f t="shared" si="11"/>
        <v>1</v>
      </c>
      <c r="I114">
        <v>138</v>
      </c>
      <c r="J114">
        <v>27</v>
      </c>
      <c r="K114">
        <v>5</v>
      </c>
      <c r="L114" s="8" t="str">
        <f t="shared" si="12"/>
        <v/>
      </c>
      <c r="M114" s="8" t="str">
        <f t="shared" si="13"/>
        <v/>
      </c>
      <c r="O114">
        <v>259</v>
      </c>
      <c r="P114">
        <v>48</v>
      </c>
      <c r="Q114">
        <v>5</v>
      </c>
      <c r="R114" s="8" t="str">
        <f t="shared" si="14"/>
        <v/>
      </c>
      <c r="S114" s="8" t="str">
        <f t="shared" si="15"/>
        <v/>
      </c>
    </row>
    <row r="115" spans="3:19" x14ac:dyDescent="0.25">
      <c r="C115">
        <v>106</v>
      </c>
      <c r="D115">
        <v>3</v>
      </c>
      <c r="E115">
        <v>1</v>
      </c>
      <c r="F115" s="8">
        <f t="shared" si="10"/>
        <v>2.2674080589138508</v>
      </c>
      <c r="G115" s="8">
        <f t="shared" si="11"/>
        <v>3</v>
      </c>
      <c r="I115">
        <v>140</v>
      </c>
      <c r="J115">
        <v>52</v>
      </c>
      <c r="K115">
        <v>2</v>
      </c>
      <c r="L115" s="8">
        <f t="shared" si="12"/>
        <v>324</v>
      </c>
      <c r="M115" s="8">
        <f t="shared" si="13"/>
        <v>52</v>
      </c>
      <c r="O115">
        <v>261</v>
      </c>
      <c r="P115">
        <v>33</v>
      </c>
      <c r="Q115">
        <v>3</v>
      </c>
      <c r="R115" s="8">
        <f t="shared" si="14"/>
        <v>992.61489840640422</v>
      </c>
      <c r="S115" s="8">
        <f t="shared" si="15"/>
        <v>33</v>
      </c>
    </row>
    <row r="116" spans="3:19" x14ac:dyDescent="0.25">
      <c r="C116">
        <v>107</v>
      </c>
      <c r="D116">
        <v>1</v>
      </c>
      <c r="E116">
        <v>1</v>
      </c>
      <c r="F116" s="8">
        <f t="shared" si="10"/>
        <v>0.24424203574782716</v>
      </c>
      <c r="G116" s="8">
        <f t="shared" si="11"/>
        <v>1</v>
      </c>
      <c r="I116">
        <v>141</v>
      </c>
      <c r="J116">
        <v>102</v>
      </c>
      <c r="K116">
        <v>2</v>
      </c>
      <c r="L116" s="8">
        <f t="shared" si="12"/>
        <v>4624</v>
      </c>
      <c r="M116" s="8">
        <f t="shared" si="13"/>
        <v>102</v>
      </c>
      <c r="O116">
        <v>263</v>
      </c>
      <c r="P116">
        <v>31</v>
      </c>
      <c r="Q116">
        <v>3</v>
      </c>
      <c r="R116" s="8">
        <f t="shared" si="14"/>
        <v>870.5917323832382</v>
      </c>
      <c r="S116" s="8">
        <f t="shared" si="15"/>
        <v>31</v>
      </c>
    </row>
    <row r="117" spans="3:19" x14ac:dyDescent="0.25">
      <c r="C117">
        <v>108</v>
      </c>
      <c r="D117">
        <v>1</v>
      </c>
      <c r="E117">
        <v>1</v>
      </c>
      <c r="F117" s="8">
        <f t="shared" si="10"/>
        <v>0.24424203574782716</v>
      </c>
      <c r="G117" s="8">
        <f t="shared" si="11"/>
        <v>1</v>
      </c>
      <c r="I117">
        <v>142</v>
      </c>
      <c r="J117">
        <v>50</v>
      </c>
      <c r="K117">
        <v>3</v>
      </c>
      <c r="L117" s="8" t="str">
        <f t="shared" si="12"/>
        <v/>
      </c>
      <c r="M117" s="8" t="str">
        <f t="shared" si="13"/>
        <v/>
      </c>
      <c r="O117">
        <v>268</v>
      </c>
      <c r="P117">
        <v>7</v>
      </c>
      <c r="Q117">
        <v>3</v>
      </c>
      <c r="R117" s="8">
        <f t="shared" si="14"/>
        <v>30.313740105245898</v>
      </c>
      <c r="S117" s="8">
        <f t="shared" si="15"/>
        <v>7</v>
      </c>
    </row>
    <row r="118" spans="3:19" x14ac:dyDescent="0.25">
      <c r="C118">
        <v>109</v>
      </c>
      <c r="D118">
        <v>2</v>
      </c>
      <c r="E118">
        <v>1</v>
      </c>
      <c r="F118" s="8">
        <f t="shared" si="10"/>
        <v>0.25582504733083894</v>
      </c>
      <c r="G118" s="8">
        <f t="shared" si="11"/>
        <v>2</v>
      </c>
      <c r="I118">
        <v>143</v>
      </c>
      <c r="J118">
        <v>1</v>
      </c>
      <c r="K118">
        <v>3</v>
      </c>
      <c r="L118" s="8" t="str">
        <f t="shared" si="12"/>
        <v/>
      </c>
      <c r="M118" s="8" t="str">
        <f t="shared" si="13"/>
        <v/>
      </c>
      <c r="O118">
        <v>270</v>
      </c>
      <c r="P118">
        <v>18</v>
      </c>
      <c r="Q118">
        <v>5</v>
      </c>
      <c r="R118" s="8" t="str">
        <f t="shared" si="14"/>
        <v/>
      </c>
      <c r="S118" s="8" t="str">
        <f t="shared" si="15"/>
        <v/>
      </c>
    </row>
    <row r="119" spans="3:19" x14ac:dyDescent="0.25">
      <c r="C119">
        <v>110</v>
      </c>
      <c r="D119">
        <v>1</v>
      </c>
      <c r="E119">
        <v>1</v>
      </c>
      <c r="F119" s="8">
        <f t="shared" si="10"/>
        <v>0.24424203574782716</v>
      </c>
      <c r="G119" s="8">
        <f t="shared" si="11"/>
        <v>1</v>
      </c>
      <c r="I119">
        <v>147</v>
      </c>
      <c r="J119">
        <v>37</v>
      </c>
      <c r="K119">
        <v>2</v>
      </c>
      <c r="L119" s="8">
        <f t="shared" si="12"/>
        <v>9</v>
      </c>
      <c r="M119" s="8">
        <f t="shared" si="13"/>
        <v>37</v>
      </c>
      <c r="O119">
        <v>271</v>
      </c>
      <c r="P119">
        <v>36</v>
      </c>
      <c r="Q119">
        <v>5</v>
      </c>
      <c r="R119" s="8" t="str">
        <f t="shared" si="14"/>
        <v/>
      </c>
      <c r="S119" s="8" t="str">
        <f t="shared" si="15"/>
        <v/>
      </c>
    </row>
    <row r="120" spans="3:19" x14ac:dyDescent="0.25">
      <c r="C120">
        <v>111</v>
      </c>
      <c r="D120">
        <v>1</v>
      </c>
      <c r="E120">
        <v>2</v>
      </c>
      <c r="F120" s="8" t="str">
        <f t="shared" si="10"/>
        <v/>
      </c>
      <c r="G120" s="8" t="str">
        <f t="shared" si="11"/>
        <v/>
      </c>
      <c r="I120">
        <v>148</v>
      </c>
      <c r="J120">
        <v>37</v>
      </c>
      <c r="K120">
        <v>3</v>
      </c>
      <c r="L120" s="8" t="str">
        <f t="shared" si="12"/>
        <v/>
      </c>
      <c r="M120" s="8" t="str">
        <f t="shared" si="13"/>
        <v/>
      </c>
      <c r="O120">
        <v>273</v>
      </c>
      <c r="P120">
        <v>21</v>
      </c>
      <c r="Q120">
        <v>5</v>
      </c>
      <c r="R120" s="8" t="str">
        <f t="shared" si="14"/>
        <v/>
      </c>
      <c r="S120" s="8" t="str">
        <f t="shared" si="15"/>
        <v/>
      </c>
    </row>
    <row r="121" spans="3:19" x14ac:dyDescent="0.25">
      <c r="C121">
        <v>112</v>
      </c>
      <c r="D121">
        <v>1</v>
      </c>
      <c r="E121">
        <v>1</v>
      </c>
      <c r="F121" s="8">
        <f t="shared" si="10"/>
        <v>0.24424203574782716</v>
      </c>
      <c r="G121" s="8">
        <f t="shared" si="11"/>
        <v>1</v>
      </c>
      <c r="I121">
        <v>149</v>
      </c>
      <c r="J121">
        <v>48</v>
      </c>
      <c r="K121">
        <v>2</v>
      </c>
      <c r="L121" s="8">
        <f t="shared" si="12"/>
        <v>196</v>
      </c>
      <c r="M121" s="8">
        <f t="shared" si="13"/>
        <v>48</v>
      </c>
      <c r="O121">
        <v>277</v>
      </c>
      <c r="P121">
        <v>4</v>
      </c>
      <c r="Q121">
        <v>3</v>
      </c>
      <c r="R121" s="8">
        <f t="shared" si="14"/>
        <v>6.2789910704968621</v>
      </c>
      <c r="S121" s="8">
        <f t="shared" si="15"/>
        <v>4</v>
      </c>
    </row>
    <row r="122" spans="3:19" x14ac:dyDescent="0.25">
      <c r="C122">
        <v>113</v>
      </c>
      <c r="D122">
        <v>2</v>
      </c>
      <c r="E122">
        <v>1</v>
      </c>
      <c r="F122" s="8">
        <f t="shared" si="10"/>
        <v>0.25582504733083894</v>
      </c>
      <c r="G122" s="8">
        <f t="shared" si="11"/>
        <v>2</v>
      </c>
      <c r="I122">
        <v>150</v>
      </c>
      <c r="J122">
        <v>102</v>
      </c>
      <c r="K122">
        <v>3</v>
      </c>
      <c r="L122" s="8" t="str">
        <f t="shared" si="12"/>
        <v/>
      </c>
      <c r="M122" s="8" t="str">
        <f t="shared" si="13"/>
        <v/>
      </c>
      <c r="O122">
        <v>278</v>
      </c>
      <c r="P122">
        <v>1</v>
      </c>
      <c r="Q122">
        <v>4</v>
      </c>
      <c r="R122" s="8" t="str">
        <f t="shared" si="14"/>
        <v/>
      </c>
      <c r="S122" s="8" t="str">
        <f t="shared" si="15"/>
        <v/>
      </c>
    </row>
    <row r="123" spans="3:19" x14ac:dyDescent="0.25">
      <c r="C123">
        <v>114</v>
      </c>
      <c r="D123">
        <v>1</v>
      </c>
      <c r="E123">
        <v>1</v>
      </c>
      <c r="F123" s="8">
        <f t="shared" si="10"/>
        <v>0.24424203574782716</v>
      </c>
      <c r="G123" s="8">
        <f t="shared" si="11"/>
        <v>1</v>
      </c>
      <c r="I123">
        <v>151</v>
      </c>
      <c r="J123">
        <v>25</v>
      </c>
      <c r="K123">
        <v>2</v>
      </c>
      <c r="L123" s="8">
        <f t="shared" si="12"/>
        <v>81</v>
      </c>
      <c r="M123" s="8">
        <f t="shared" si="13"/>
        <v>25</v>
      </c>
      <c r="O123">
        <v>282</v>
      </c>
      <c r="P123">
        <v>15</v>
      </c>
      <c r="Q123">
        <v>3</v>
      </c>
      <c r="R123" s="8">
        <f t="shared" si="14"/>
        <v>182.40640419791001</v>
      </c>
      <c r="S123" s="8">
        <f t="shared" si="15"/>
        <v>15</v>
      </c>
    </row>
    <row r="124" spans="3:19" x14ac:dyDescent="0.25">
      <c r="C124">
        <v>115</v>
      </c>
      <c r="D124">
        <v>1</v>
      </c>
      <c r="E124">
        <v>1</v>
      </c>
      <c r="F124" s="8">
        <f t="shared" si="10"/>
        <v>0.24424203574782716</v>
      </c>
      <c r="G124" s="8">
        <f t="shared" si="11"/>
        <v>1</v>
      </c>
      <c r="I124">
        <v>152</v>
      </c>
      <c r="J124">
        <v>24</v>
      </c>
      <c r="K124">
        <v>4</v>
      </c>
      <c r="L124" s="8" t="str">
        <f t="shared" si="12"/>
        <v/>
      </c>
      <c r="M124" s="8" t="str">
        <f t="shared" si="13"/>
        <v/>
      </c>
      <c r="O124">
        <v>285</v>
      </c>
      <c r="P124">
        <v>105</v>
      </c>
      <c r="Q124">
        <v>3</v>
      </c>
      <c r="R124" s="8">
        <f t="shared" si="14"/>
        <v>10713.448875240381</v>
      </c>
      <c r="S124" s="8">
        <f t="shared" si="15"/>
        <v>105</v>
      </c>
    </row>
    <row r="125" spans="3:19" x14ac:dyDescent="0.25">
      <c r="C125">
        <v>116</v>
      </c>
      <c r="D125">
        <v>2</v>
      </c>
      <c r="E125">
        <v>1</v>
      </c>
      <c r="F125" s="8">
        <f t="shared" si="10"/>
        <v>0.25582504733083894</v>
      </c>
      <c r="G125" s="8">
        <f t="shared" si="11"/>
        <v>2</v>
      </c>
      <c r="I125">
        <v>154</v>
      </c>
      <c r="J125">
        <v>68</v>
      </c>
      <c r="K125">
        <v>3</v>
      </c>
      <c r="L125" s="8" t="str">
        <f t="shared" si="12"/>
        <v/>
      </c>
      <c r="M125" s="8" t="str">
        <f t="shared" si="13"/>
        <v/>
      </c>
      <c r="O125">
        <v>287</v>
      </c>
      <c r="P125">
        <v>22</v>
      </c>
      <c r="Q125">
        <v>3</v>
      </c>
      <c r="R125" s="8">
        <f t="shared" si="14"/>
        <v>420.48748527899113</v>
      </c>
      <c r="S125" s="8">
        <f t="shared" si="15"/>
        <v>22</v>
      </c>
    </row>
    <row r="126" spans="3:19" x14ac:dyDescent="0.25">
      <c r="C126">
        <v>117</v>
      </c>
      <c r="D126">
        <v>1</v>
      </c>
      <c r="E126">
        <v>1</v>
      </c>
      <c r="F126" s="8">
        <f t="shared" si="10"/>
        <v>0.24424203574782716</v>
      </c>
      <c r="G126" s="8">
        <f t="shared" si="11"/>
        <v>1</v>
      </c>
      <c r="I126">
        <v>156</v>
      </c>
      <c r="J126">
        <v>31</v>
      </c>
      <c r="K126">
        <v>2</v>
      </c>
      <c r="L126" s="8">
        <f t="shared" si="12"/>
        <v>9</v>
      </c>
      <c r="M126" s="8">
        <f t="shared" si="13"/>
        <v>31</v>
      </c>
      <c r="O126">
        <v>289</v>
      </c>
      <c r="P126">
        <v>20</v>
      </c>
      <c r="Q126">
        <v>3</v>
      </c>
      <c r="R126" s="8">
        <f t="shared" si="14"/>
        <v>342.4643192558251</v>
      </c>
      <c r="S126" s="8">
        <f t="shared" si="15"/>
        <v>20</v>
      </c>
    </row>
    <row r="127" spans="3:19" x14ac:dyDescent="0.25">
      <c r="C127">
        <v>118</v>
      </c>
      <c r="D127">
        <v>1</v>
      </c>
      <c r="E127">
        <v>1</v>
      </c>
      <c r="F127" s="8">
        <f t="shared" si="10"/>
        <v>0.24424203574782716</v>
      </c>
      <c r="G127" s="8">
        <f t="shared" si="11"/>
        <v>1</v>
      </c>
      <c r="I127">
        <v>157</v>
      </c>
      <c r="J127">
        <v>69</v>
      </c>
      <c r="K127">
        <v>5</v>
      </c>
      <c r="L127" s="8" t="str">
        <f t="shared" si="12"/>
        <v/>
      </c>
      <c r="M127" s="8" t="str">
        <f t="shared" si="13"/>
        <v/>
      </c>
      <c r="O127">
        <v>292</v>
      </c>
      <c r="P127">
        <v>54</v>
      </c>
      <c r="Q127">
        <v>3</v>
      </c>
      <c r="R127" s="8">
        <f t="shared" si="14"/>
        <v>2756.8581416496477</v>
      </c>
      <c r="S127" s="8">
        <f t="shared" si="15"/>
        <v>54</v>
      </c>
    </row>
    <row r="128" spans="3:19" x14ac:dyDescent="0.25">
      <c r="C128">
        <v>119</v>
      </c>
      <c r="D128">
        <v>1</v>
      </c>
      <c r="E128">
        <v>2</v>
      </c>
      <c r="F128" s="8" t="str">
        <f t="shared" si="10"/>
        <v/>
      </c>
      <c r="G128" s="8" t="str">
        <f t="shared" si="11"/>
        <v/>
      </c>
      <c r="I128">
        <v>159</v>
      </c>
      <c r="J128">
        <v>37</v>
      </c>
      <c r="K128">
        <v>3</v>
      </c>
      <c r="L128" s="8" t="str">
        <f t="shared" si="12"/>
        <v/>
      </c>
      <c r="M128" s="8" t="str">
        <f t="shared" si="13"/>
        <v/>
      </c>
      <c r="O128">
        <v>293</v>
      </c>
      <c r="P128">
        <v>6</v>
      </c>
      <c r="Q128">
        <v>3</v>
      </c>
      <c r="R128" s="8">
        <f t="shared" si="14"/>
        <v>20.302157093662885</v>
      </c>
      <c r="S128" s="8">
        <f t="shared" si="15"/>
        <v>6</v>
      </c>
    </row>
    <row r="129" spans="3:19" x14ac:dyDescent="0.25">
      <c r="C129">
        <v>120</v>
      </c>
      <c r="D129">
        <v>1</v>
      </c>
      <c r="E129">
        <v>1</v>
      </c>
      <c r="F129" s="8">
        <f t="shared" si="10"/>
        <v>0.24424203574782716</v>
      </c>
      <c r="G129" s="8">
        <f t="shared" si="11"/>
        <v>1</v>
      </c>
      <c r="I129">
        <v>160</v>
      </c>
      <c r="J129">
        <v>47</v>
      </c>
      <c r="K129">
        <v>3</v>
      </c>
      <c r="L129" s="8" t="str">
        <f t="shared" si="12"/>
        <v/>
      </c>
      <c r="M129" s="8" t="str">
        <f t="shared" si="13"/>
        <v/>
      </c>
      <c r="O129">
        <v>294</v>
      </c>
      <c r="P129">
        <v>11</v>
      </c>
      <c r="Q129">
        <v>3</v>
      </c>
      <c r="R129" s="8">
        <f t="shared" si="14"/>
        <v>90.360072151577967</v>
      </c>
      <c r="S129" s="8">
        <f t="shared" si="15"/>
        <v>11</v>
      </c>
    </row>
    <row r="130" spans="3:19" x14ac:dyDescent="0.25">
      <c r="C130">
        <v>121</v>
      </c>
      <c r="D130">
        <v>1</v>
      </c>
      <c r="E130">
        <v>1</v>
      </c>
      <c r="F130" s="8">
        <f t="shared" si="10"/>
        <v>0.24424203574782716</v>
      </c>
      <c r="G130" s="8">
        <f t="shared" si="11"/>
        <v>1</v>
      </c>
      <c r="I130">
        <v>161</v>
      </c>
      <c r="J130">
        <v>20</v>
      </c>
      <c r="K130">
        <v>2</v>
      </c>
      <c r="L130" s="8">
        <f t="shared" si="12"/>
        <v>196</v>
      </c>
      <c r="M130" s="8">
        <f t="shared" si="13"/>
        <v>20</v>
      </c>
      <c r="O130">
        <v>299</v>
      </c>
      <c r="P130">
        <v>22</v>
      </c>
      <c r="Q130">
        <v>3</v>
      </c>
      <c r="R130" s="8">
        <f t="shared" si="14"/>
        <v>420.48748527899113</v>
      </c>
      <c r="S130" s="8">
        <f t="shared" si="15"/>
        <v>22</v>
      </c>
    </row>
    <row r="131" spans="3:19" x14ac:dyDescent="0.25">
      <c r="C131">
        <v>122</v>
      </c>
      <c r="D131">
        <v>3</v>
      </c>
      <c r="E131">
        <v>1</v>
      </c>
      <c r="F131" s="8">
        <f t="shared" si="10"/>
        <v>2.2674080589138508</v>
      </c>
      <c r="G131" s="8">
        <f t="shared" si="11"/>
        <v>3</v>
      </c>
      <c r="I131">
        <v>163</v>
      </c>
      <c r="J131">
        <v>1</v>
      </c>
      <c r="K131">
        <v>2</v>
      </c>
      <c r="L131" s="8">
        <f t="shared" si="12"/>
        <v>1089</v>
      </c>
      <c r="M131" s="8">
        <f t="shared" si="13"/>
        <v>1</v>
      </c>
    </row>
    <row r="132" spans="3:19" x14ac:dyDescent="0.25">
      <c r="C132">
        <v>123</v>
      </c>
      <c r="D132">
        <v>1</v>
      </c>
      <c r="E132">
        <v>1</v>
      </c>
      <c r="F132" s="8">
        <f t="shared" si="10"/>
        <v>0.24424203574782716</v>
      </c>
      <c r="G132" s="8">
        <f t="shared" si="11"/>
        <v>1</v>
      </c>
      <c r="I132">
        <v>164</v>
      </c>
      <c r="J132">
        <v>78</v>
      </c>
      <c r="K132">
        <v>3</v>
      </c>
      <c r="L132" s="8" t="str">
        <f t="shared" si="12"/>
        <v/>
      </c>
      <c r="M132" s="8" t="str">
        <f t="shared" si="13"/>
        <v/>
      </c>
    </row>
    <row r="133" spans="3:19" x14ac:dyDescent="0.25">
      <c r="C133">
        <v>124</v>
      </c>
      <c r="D133">
        <v>1</v>
      </c>
      <c r="E133">
        <v>1</v>
      </c>
      <c r="F133" s="8">
        <f t="shared" si="10"/>
        <v>0.24424203574782716</v>
      </c>
      <c r="G133" s="8">
        <f t="shared" si="11"/>
        <v>1</v>
      </c>
      <c r="I133">
        <v>165</v>
      </c>
      <c r="J133">
        <v>19</v>
      </c>
      <c r="K133">
        <v>2</v>
      </c>
      <c r="L133" s="8">
        <f t="shared" si="12"/>
        <v>225</v>
      </c>
      <c r="M133" s="8">
        <f t="shared" si="13"/>
        <v>19</v>
      </c>
    </row>
    <row r="134" spans="3:19" x14ac:dyDescent="0.25">
      <c r="C134">
        <v>125</v>
      </c>
      <c r="D134">
        <v>3</v>
      </c>
      <c r="E134">
        <v>1</v>
      </c>
      <c r="F134" s="8">
        <f t="shared" si="10"/>
        <v>2.2674080589138508</v>
      </c>
      <c r="G134" s="8">
        <f t="shared" si="11"/>
        <v>3</v>
      </c>
      <c r="I134">
        <v>166</v>
      </c>
      <c r="J134">
        <v>1</v>
      </c>
      <c r="K134">
        <v>2</v>
      </c>
      <c r="L134" s="8">
        <f t="shared" si="12"/>
        <v>1089</v>
      </c>
      <c r="M134" s="8">
        <f t="shared" si="13"/>
        <v>1</v>
      </c>
    </row>
    <row r="135" spans="3:19" x14ac:dyDescent="0.25">
      <c r="C135">
        <v>126</v>
      </c>
      <c r="D135">
        <v>2</v>
      </c>
      <c r="E135">
        <v>1</v>
      </c>
      <c r="F135" s="8">
        <f t="shared" si="10"/>
        <v>0.25582504733083894</v>
      </c>
      <c r="G135" s="8">
        <f t="shared" si="11"/>
        <v>2</v>
      </c>
      <c r="I135">
        <v>167</v>
      </c>
      <c r="J135">
        <v>35</v>
      </c>
      <c r="K135">
        <v>5</v>
      </c>
      <c r="L135" s="8" t="str">
        <f t="shared" si="12"/>
        <v/>
      </c>
      <c r="M135" s="8" t="str">
        <f t="shared" si="13"/>
        <v/>
      </c>
    </row>
    <row r="136" spans="3:19" x14ac:dyDescent="0.25">
      <c r="C136">
        <v>127</v>
      </c>
      <c r="D136">
        <v>1</v>
      </c>
      <c r="E136">
        <v>1</v>
      </c>
      <c r="F136" s="8">
        <f t="shared" si="10"/>
        <v>0.24424203574782716</v>
      </c>
      <c r="G136" s="8">
        <f t="shared" si="11"/>
        <v>1</v>
      </c>
      <c r="I136">
        <v>168</v>
      </c>
      <c r="J136">
        <v>18</v>
      </c>
      <c r="K136">
        <v>3</v>
      </c>
      <c r="L136" s="8" t="str">
        <f t="shared" si="12"/>
        <v/>
      </c>
      <c r="M136" s="8" t="str">
        <f t="shared" si="13"/>
        <v/>
      </c>
    </row>
    <row r="137" spans="3:19" x14ac:dyDescent="0.25">
      <c r="C137">
        <v>128</v>
      </c>
      <c r="D137">
        <v>1</v>
      </c>
      <c r="E137">
        <v>2</v>
      </c>
      <c r="F137" s="8" t="str">
        <f t="shared" si="10"/>
        <v/>
      </c>
      <c r="G137" s="8" t="str">
        <f t="shared" si="11"/>
        <v/>
      </c>
      <c r="I137">
        <v>169</v>
      </c>
      <c r="J137">
        <v>12</v>
      </c>
      <c r="K137">
        <v>3</v>
      </c>
      <c r="L137" s="8" t="str">
        <f t="shared" si="12"/>
        <v/>
      </c>
      <c r="M137" s="8" t="str">
        <f t="shared" si="13"/>
        <v/>
      </c>
    </row>
    <row r="138" spans="3:19" x14ac:dyDescent="0.25">
      <c r="C138">
        <v>129</v>
      </c>
      <c r="D138">
        <v>1</v>
      </c>
      <c r="E138">
        <v>1</v>
      </c>
      <c r="F138" s="8">
        <f t="shared" ref="F138:F201" si="16">IF(E138=1,(D138-$D$2)*(D138-$D$2),"")</f>
        <v>0.24424203574782716</v>
      </c>
      <c r="G138" s="8">
        <f t="shared" ref="G138:G201" si="17">IF(E138=1,D138,"")</f>
        <v>1</v>
      </c>
      <c r="I138">
        <v>170</v>
      </c>
      <c r="J138">
        <v>53</v>
      </c>
      <c r="K138">
        <v>2</v>
      </c>
      <c r="L138" s="8">
        <f t="shared" ref="L138:L201" si="18">IF(K138=2,(J138-$J$2)*(J138-$J$2),"")</f>
        <v>361</v>
      </c>
      <c r="M138" s="8">
        <f t="shared" ref="M138:M201" si="19">IF(K138=2,J138,"")</f>
        <v>53</v>
      </c>
    </row>
    <row r="139" spans="3:19" x14ac:dyDescent="0.25">
      <c r="C139">
        <v>130</v>
      </c>
      <c r="D139">
        <v>3</v>
      </c>
      <c r="E139">
        <v>1</v>
      </c>
      <c r="F139" s="8">
        <f t="shared" si="16"/>
        <v>2.2674080589138508</v>
      </c>
      <c r="G139" s="8">
        <f t="shared" si="17"/>
        <v>3</v>
      </c>
      <c r="I139">
        <v>171</v>
      </c>
      <c r="J139">
        <v>48</v>
      </c>
      <c r="K139">
        <v>2</v>
      </c>
      <c r="L139" s="8">
        <f t="shared" si="18"/>
        <v>196</v>
      </c>
      <c r="M139" s="8">
        <f t="shared" si="19"/>
        <v>48</v>
      </c>
    </row>
    <row r="140" spans="3:19" x14ac:dyDescent="0.25">
      <c r="C140">
        <v>131</v>
      </c>
      <c r="D140">
        <v>6</v>
      </c>
      <c r="E140">
        <v>1</v>
      </c>
      <c r="F140" s="8">
        <f t="shared" si="16"/>
        <v>20.302157093662885</v>
      </c>
      <c r="G140" s="8">
        <f t="shared" si="17"/>
        <v>6</v>
      </c>
      <c r="I140">
        <v>172</v>
      </c>
      <c r="J140">
        <v>56</v>
      </c>
      <c r="K140">
        <v>2</v>
      </c>
      <c r="L140" s="8">
        <f t="shared" si="18"/>
        <v>484</v>
      </c>
      <c r="M140" s="8">
        <f t="shared" si="19"/>
        <v>56</v>
      </c>
    </row>
    <row r="141" spans="3:19" x14ac:dyDescent="0.25">
      <c r="C141">
        <v>132</v>
      </c>
      <c r="D141">
        <v>1</v>
      </c>
      <c r="E141">
        <v>2</v>
      </c>
      <c r="F141" s="8" t="str">
        <f t="shared" si="16"/>
        <v/>
      </c>
      <c r="G141" s="8" t="str">
        <f t="shared" si="17"/>
        <v/>
      </c>
      <c r="I141">
        <v>173</v>
      </c>
      <c r="J141">
        <v>54</v>
      </c>
      <c r="K141">
        <v>3</v>
      </c>
      <c r="L141" s="8" t="str">
        <f t="shared" si="18"/>
        <v/>
      </c>
      <c r="M141" s="8" t="str">
        <f t="shared" si="19"/>
        <v/>
      </c>
    </row>
    <row r="142" spans="3:19" x14ac:dyDescent="0.25">
      <c r="C142">
        <v>133</v>
      </c>
      <c r="D142">
        <v>1</v>
      </c>
      <c r="E142">
        <v>1</v>
      </c>
      <c r="F142" s="8">
        <f t="shared" si="16"/>
        <v>0.24424203574782716</v>
      </c>
      <c r="G142" s="8">
        <f t="shared" si="17"/>
        <v>1</v>
      </c>
      <c r="I142">
        <v>174</v>
      </c>
      <c r="J142">
        <v>48</v>
      </c>
      <c r="K142">
        <v>2</v>
      </c>
      <c r="L142" s="8">
        <f t="shared" si="18"/>
        <v>196</v>
      </c>
      <c r="M142" s="8">
        <f t="shared" si="19"/>
        <v>48</v>
      </c>
    </row>
    <row r="143" spans="3:19" x14ac:dyDescent="0.25">
      <c r="C143">
        <v>134</v>
      </c>
      <c r="D143">
        <v>1</v>
      </c>
      <c r="E143">
        <v>1</v>
      </c>
      <c r="F143" s="8">
        <f t="shared" si="16"/>
        <v>0.24424203574782716</v>
      </c>
      <c r="G143" s="8">
        <f t="shared" si="17"/>
        <v>1</v>
      </c>
      <c r="I143">
        <v>176</v>
      </c>
      <c r="J143">
        <v>39</v>
      </c>
      <c r="K143">
        <v>2</v>
      </c>
      <c r="L143" s="8">
        <f t="shared" si="18"/>
        <v>25</v>
      </c>
      <c r="M143" s="8">
        <f t="shared" si="19"/>
        <v>39</v>
      </c>
    </row>
    <row r="144" spans="3:19" x14ac:dyDescent="0.25">
      <c r="C144">
        <v>135</v>
      </c>
      <c r="D144">
        <v>2</v>
      </c>
      <c r="E144">
        <v>1</v>
      </c>
      <c r="F144" s="8">
        <f t="shared" si="16"/>
        <v>0.25582504733083894</v>
      </c>
      <c r="G144" s="8">
        <f t="shared" si="17"/>
        <v>2</v>
      </c>
      <c r="I144">
        <v>177</v>
      </c>
      <c r="J144">
        <v>84</v>
      </c>
      <c r="K144">
        <v>2</v>
      </c>
      <c r="L144" s="8">
        <f t="shared" si="18"/>
        <v>2500</v>
      </c>
      <c r="M144" s="8">
        <f t="shared" si="19"/>
        <v>84</v>
      </c>
    </row>
    <row r="145" spans="3:13" x14ac:dyDescent="0.25">
      <c r="C145">
        <v>136</v>
      </c>
      <c r="D145">
        <v>1</v>
      </c>
      <c r="E145">
        <v>1</v>
      </c>
      <c r="F145" s="8">
        <f t="shared" si="16"/>
        <v>0.24424203574782716</v>
      </c>
      <c r="G145" s="8">
        <f t="shared" si="17"/>
        <v>1</v>
      </c>
      <c r="I145">
        <v>178</v>
      </c>
      <c r="J145">
        <v>100</v>
      </c>
      <c r="K145">
        <v>2</v>
      </c>
      <c r="L145" s="8">
        <f t="shared" si="18"/>
        <v>4356</v>
      </c>
      <c r="M145" s="8">
        <f t="shared" si="19"/>
        <v>100</v>
      </c>
    </row>
    <row r="146" spans="3:13" x14ac:dyDescent="0.25">
      <c r="C146">
        <v>137</v>
      </c>
      <c r="D146">
        <v>1</v>
      </c>
      <c r="E146">
        <v>1</v>
      </c>
      <c r="F146" s="8">
        <f t="shared" si="16"/>
        <v>0.24424203574782716</v>
      </c>
      <c r="G146" s="8">
        <f t="shared" si="17"/>
        <v>1</v>
      </c>
      <c r="I146">
        <v>179</v>
      </c>
      <c r="J146">
        <v>25</v>
      </c>
      <c r="K146">
        <v>2</v>
      </c>
      <c r="L146" s="8">
        <f t="shared" si="18"/>
        <v>81</v>
      </c>
      <c r="M146" s="8">
        <f t="shared" si="19"/>
        <v>25</v>
      </c>
    </row>
    <row r="147" spans="3:13" x14ac:dyDescent="0.25">
      <c r="C147">
        <v>138</v>
      </c>
      <c r="D147">
        <v>1</v>
      </c>
      <c r="E147">
        <v>1</v>
      </c>
      <c r="F147" s="8">
        <f t="shared" si="16"/>
        <v>0.24424203574782716</v>
      </c>
      <c r="G147" s="8">
        <f t="shared" si="17"/>
        <v>1</v>
      </c>
      <c r="I147">
        <v>180</v>
      </c>
      <c r="J147">
        <v>27</v>
      </c>
      <c r="K147">
        <v>3</v>
      </c>
      <c r="L147" s="8" t="str">
        <f t="shared" si="18"/>
        <v/>
      </c>
      <c r="M147" s="8" t="str">
        <f t="shared" si="19"/>
        <v/>
      </c>
    </row>
    <row r="148" spans="3:13" x14ac:dyDescent="0.25">
      <c r="C148">
        <v>139</v>
      </c>
      <c r="D148">
        <v>1</v>
      </c>
      <c r="E148">
        <v>1</v>
      </c>
      <c r="F148" s="8">
        <f t="shared" si="16"/>
        <v>0.24424203574782716</v>
      </c>
      <c r="G148" s="8">
        <f t="shared" si="17"/>
        <v>1</v>
      </c>
      <c r="I148">
        <v>181</v>
      </c>
      <c r="J148">
        <v>105</v>
      </c>
      <c r="K148">
        <v>5</v>
      </c>
      <c r="L148" s="8" t="str">
        <f t="shared" si="18"/>
        <v/>
      </c>
      <c r="M148" s="8" t="str">
        <f t="shared" si="19"/>
        <v/>
      </c>
    </row>
    <row r="149" spans="3:13" x14ac:dyDescent="0.25">
      <c r="C149">
        <v>140</v>
      </c>
      <c r="D149">
        <v>1</v>
      </c>
      <c r="E149">
        <v>1</v>
      </c>
      <c r="F149" s="8">
        <f t="shared" si="16"/>
        <v>0.24424203574782716</v>
      </c>
      <c r="G149" s="8">
        <f t="shared" si="17"/>
        <v>1</v>
      </c>
      <c r="I149">
        <v>182</v>
      </c>
      <c r="J149">
        <v>33</v>
      </c>
      <c r="K149">
        <v>2</v>
      </c>
      <c r="L149" s="8">
        <f t="shared" si="18"/>
        <v>1</v>
      </c>
      <c r="M149" s="8">
        <f t="shared" si="19"/>
        <v>33</v>
      </c>
    </row>
    <row r="150" spans="3:13" x14ac:dyDescent="0.25">
      <c r="C150">
        <v>141</v>
      </c>
      <c r="D150">
        <v>1</v>
      </c>
      <c r="E150">
        <v>1</v>
      </c>
      <c r="F150" s="8">
        <f t="shared" si="16"/>
        <v>0.24424203574782716</v>
      </c>
      <c r="G150" s="8">
        <f t="shared" si="17"/>
        <v>1</v>
      </c>
      <c r="I150">
        <v>183</v>
      </c>
      <c r="J150">
        <v>15</v>
      </c>
      <c r="K150">
        <v>2</v>
      </c>
      <c r="L150" s="8">
        <f t="shared" si="18"/>
        <v>361</v>
      </c>
      <c r="M150" s="8">
        <f t="shared" si="19"/>
        <v>15</v>
      </c>
    </row>
    <row r="151" spans="3:13" x14ac:dyDescent="0.25">
      <c r="C151">
        <v>142</v>
      </c>
      <c r="D151">
        <v>1</v>
      </c>
      <c r="E151">
        <v>1</v>
      </c>
      <c r="F151" s="8">
        <f t="shared" si="16"/>
        <v>0.24424203574782716</v>
      </c>
      <c r="G151" s="8">
        <f t="shared" si="17"/>
        <v>1</v>
      </c>
      <c r="I151">
        <v>184</v>
      </c>
      <c r="J151">
        <v>40</v>
      </c>
      <c r="K151">
        <v>2</v>
      </c>
      <c r="L151" s="8">
        <f t="shared" si="18"/>
        <v>36</v>
      </c>
      <c r="M151" s="8">
        <f t="shared" si="19"/>
        <v>40</v>
      </c>
    </row>
    <row r="152" spans="3:13" x14ac:dyDescent="0.25">
      <c r="C152">
        <v>143</v>
      </c>
      <c r="D152">
        <v>1</v>
      </c>
      <c r="E152">
        <v>3</v>
      </c>
      <c r="F152" s="8" t="str">
        <f t="shared" si="16"/>
        <v/>
      </c>
      <c r="G152" s="8" t="str">
        <f t="shared" si="17"/>
        <v/>
      </c>
      <c r="I152">
        <v>186</v>
      </c>
      <c r="J152">
        <v>28</v>
      </c>
      <c r="K152">
        <v>3</v>
      </c>
      <c r="L152" s="8" t="str">
        <f t="shared" si="18"/>
        <v/>
      </c>
      <c r="M152" s="8" t="str">
        <f t="shared" si="19"/>
        <v/>
      </c>
    </row>
    <row r="153" spans="3:13" x14ac:dyDescent="0.25">
      <c r="C153">
        <v>144</v>
      </c>
      <c r="D153">
        <v>1</v>
      </c>
      <c r="E153">
        <v>1</v>
      </c>
      <c r="F153" s="8">
        <f t="shared" si="16"/>
        <v>0.24424203574782716</v>
      </c>
      <c r="G153" s="8">
        <f t="shared" si="17"/>
        <v>1</v>
      </c>
      <c r="I153">
        <v>187</v>
      </c>
      <c r="J153">
        <v>1</v>
      </c>
      <c r="K153">
        <v>2</v>
      </c>
      <c r="L153" s="8">
        <f t="shared" si="18"/>
        <v>1089</v>
      </c>
      <c r="M153" s="8">
        <f t="shared" si="19"/>
        <v>1</v>
      </c>
    </row>
    <row r="154" spans="3:13" x14ac:dyDescent="0.25">
      <c r="C154">
        <v>145</v>
      </c>
      <c r="D154">
        <v>2</v>
      </c>
      <c r="E154">
        <v>1</v>
      </c>
      <c r="F154" s="8">
        <f t="shared" si="16"/>
        <v>0.25582504733083894</v>
      </c>
      <c r="G154" s="8">
        <f t="shared" si="17"/>
        <v>2</v>
      </c>
      <c r="I154">
        <v>188</v>
      </c>
      <c r="J154">
        <v>1</v>
      </c>
      <c r="K154">
        <v>2</v>
      </c>
      <c r="L154" s="8">
        <f t="shared" si="18"/>
        <v>1089</v>
      </c>
      <c r="M154" s="8">
        <f t="shared" si="19"/>
        <v>1</v>
      </c>
    </row>
    <row r="155" spans="3:13" x14ac:dyDescent="0.25">
      <c r="C155">
        <v>146</v>
      </c>
      <c r="D155">
        <v>1</v>
      </c>
      <c r="E155">
        <v>1</v>
      </c>
      <c r="F155" s="8">
        <f t="shared" si="16"/>
        <v>0.24424203574782716</v>
      </c>
      <c r="G155" s="8">
        <f t="shared" si="17"/>
        <v>1</v>
      </c>
      <c r="I155">
        <v>189</v>
      </c>
      <c r="J155">
        <v>99</v>
      </c>
      <c r="K155">
        <v>3</v>
      </c>
      <c r="L155" s="8" t="str">
        <f t="shared" si="18"/>
        <v/>
      </c>
      <c r="M155" s="8" t="str">
        <f t="shared" si="19"/>
        <v/>
      </c>
    </row>
    <row r="156" spans="3:13" x14ac:dyDescent="0.25">
      <c r="C156">
        <v>147</v>
      </c>
      <c r="D156">
        <v>1</v>
      </c>
      <c r="E156">
        <v>1</v>
      </c>
      <c r="F156" s="8">
        <f t="shared" si="16"/>
        <v>0.24424203574782716</v>
      </c>
      <c r="G156" s="8">
        <f t="shared" si="17"/>
        <v>1</v>
      </c>
      <c r="I156">
        <v>191</v>
      </c>
      <c r="J156">
        <v>71</v>
      </c>
      <c r="K156">
        <v>3</v>
      </c>
      <c r="L156" s="8" t="str">
        <f t="shared" si="18"/>
        <v/>
      </c>
      <c r="M156" s="8" t="str">
        <f t="shared" si="19"/>
        <v/>
      </c>
    </row>
    <row r="157" spans="3:13" x14ac:dyDescent="0.25">
      <c r="C157">
        <v>148</v>
      </c>
      <c r="D157">
        <v>3</v>
      </c>
      <c r="E157">
        <v>1</v>
      </c>
      <c r="F157" s="8">
        <f t="shared" si="16"/>
        <v>2.2674080589138508</v>
      </c>
      <c r="G157" s="8">
        <f t="shared" si="17"/>
        <v>3</v>
      </c>
      <c r="I157">
        <v>192</v>
      </c>
      <c r="J157">
        <v>25</v>
      </c>
      <c r="K157">
        <v>3</v>
      </c>
      <c r="L157" s="8" t="str">
        <f t="shared" si="18"/>
        <v/>
      </c>
      <c r="M157" s="8" t="str">
        <f t="shared" si="19"/>
        <v/>
      </c>
    </row>
    <row r="158" spans="3:13" x14ac:dyDescent="0.25">
      <c r="C158">
        <v>149</v>
      </c>
      <c r="D158">
        <v>3</v>
      </c>
      <c r="E158">
        <v>1</v>
      </c>
      <c r="F158" s="8">
        <f t="shared" si="16"/>
        <v>2.2674080589138508</v>
      </c>
      <c r="G158" s="8">
        <f t="shared" si="17"/>
        <v>3</v>
      </c>
      <c r="I158">
        <v>193</v>
      </c>
      <c r="J158">
        <v>119</v>
      </c>
      <c r="K158">
        <v>2</v>
      </c>
      <c r="L158" s="8">
        <f t="shared" si="18"/>
        <v>7225</v>
      </c>
      <c r="M158" s="8">
        <f t="shared" si="19"/>
        <v>119</v>
      </c>
    </row>
    <row r="159" spans="3:13" x14ac:dyDescent="0.25">
      <c r="C159">
        <v>150</v>
      </c>
      <c r="D159">
        <v>1</v>
      </c>
      <c r="E159">
        <v>1</v>
      </c>
      <c r="F159" s="8">
        <f t="shared" si="16"/>
        <v>0.24424203574782716</v>
      </c>
      <c r="G159" s="8">
        <f t="shared" si="17"/>
        <v>1</v>
      </c>
      <c r="I159">
        <v>194</v>
      </c>
      <c r="J159">
        <v>118</v>
      </c>
      <c r="K159">
        <v>4</v>
      </c>
      <c r="L159" s="8" t="str">
        <f t="shared" si="18"/>
        <v/>
      </c>
      <c r="M159" s="8" t="str">
        <f t="shared" si="19"/>
        <v/>
      </c>
    </row>
    <row r="160" spans="3:13" x14ac:dyDescent="0.25">
      <c r="C160">
        <v>151</v>
      </c>
      <c r="D160">
        <v>1</v>
      </c>
      <c r="E160">
        <v>1</v>
      </c>
      <c r="F160" s="8">
        <f t="shared" si="16"/>
        <v>0.24424203574782716</v>
      </c>
      <c r="G160" s="8">
        <f t="shared" si="17"/>
        <v>1</v>
      </c>
      <c r="I160">
        <v>195</v>
      </c>
      <c r="J160">
        <v>1</v>
      </c>
      <c r="K160">
        <v>2</v>
      </c>
      <c r="L160" s="8">
        <f t="shared" si="18"/>
        <v>1089</v>
      </c>
      <c r="M160" s="8">
        <f t="shared" si="19"/>
        <v>1</v>
      </c>
    </row>
    <row r="161" spans="3:13" x14ac:dyDescent="0.25">
      <c r="C161">
        <v>152</v>
      </c>
      <c r="D161">
        <v>1</v>
      </c>
      <c r="E161">
        <v>1</v>
      </c>
      <c r="F161" s="8">
        <f t="shared" si="16"/>
        <v>0.24424203574782716</v>
      </c>
      <c r="G161" s="8">
        <f t="shared" si="17"/>
        <v>1</v>
      </c>
      <c r="I161">
        <v>197</v>
      </c>
      <c r="J161">
        <v>1</v>
      </c>
      <c r="K161">
        <v>2</v>
      </c>
      <c r="L161" s="8">
        <f t="shared" si="18"/>
        <v>1089</v>
      </c>
      <c r="M161" s="8">
        <f t="shared" si="19"/>
        <v>1</v>
      </c>
    </row>
    <row r="162" spans="3:13" x14ac:dyDescent="0.25">
      <c r="C162">
        <v>153</v>
      </c>
      <c r="D162">
        <v>1</v>
      </c>
      <c r="E162">
        <v>1</v>
      </c>
      <c r="F162" s="8">
        <f t="shared" si="16"/>
        <v>0.24424203574782716</v>
      </c>
      <c r="G162" s="8">
        <f t="shared" si="17"/>
        <v>1</v>
      </c>
      <c r="I162">
        <v>198</v>
      </c>
      <c r="J162">
        <v>45</v>
      </c>
      <c r="K162">
        <v>2</v>
      </c>
      <c r="L162" s="8">
        <f t="shared" si="18"/>
        <v>121</v>
      </c>
      <c r="M162" s="8">
        <f t="shared" si="19"/>
        <v>45</v>
      </c>
    </row>
    <row r="163" spans="3:13" x14ac:dyDescent="0.25">
      <c r="C163">
        <v>154</v>
      </c>
      <c r="D163">
        <v>1</v>
      </c>
      <c r="E163">
        <v>1</v>
      </c>
      <c r="F163" s="8">
        <f t="shared" si="16"/>
        <v>0.24424203574782716</v>
      </c>
      <c r="G163" s="8">
        <f t="shared" si="17"/>
        <v>1</v>
      </c>
      <c r="I163">
        <v>199</v>
      </c>
      <c r="J163">
        <v>108</v>
      </c>
      <c r="K163">
        <v>4</v>
      </c>
      <c r="L163" s="8" t="str">
        <f t="shared" si="18"/>
        <v/>
      </c>
      <c r="M163" s="8" t="str">
        <f t="shared" si="19"/>
        <v/>
      </c>
    </row>
    <row r="164" spans="3:13" x14ac:dyDescent="0.25">
      <c r="C164">
        <v>155</v>
      </c>
      <c r="D164">
        <v>1</v>
      </c>
      <c r="E164">
        <v>1</v>
      </c>
      <c r="F164" s="8">
        <f t="shared" si="16"/>
        <v>0.24424203574782716</v>
      </c>
      <c r="G164" s="8">
        <f t="shared" si="17"/>
        <v>1</v>
      </c>
      <c r="I164">
        <v>200</v>
      </c>
      <c r="J164">
        <v>1</v>
      </c>
      <c r="K164">
        <v>2</v>
      </c>
      <c r="L164" s="8">
        <f t="shared" si="18"/>
        <v>1089</v>
      </c>
      <c r="M164" s="8">
        <f t="shared" si="19"/>
        <v>1</v>
      </c>
    </row>
    <row r="165" spans="3:13" x14ac:dyDescent="0.25">
      <c r="C165">
        <v>156</v>
      </c>
      <c r="D165">
        <v>1</v>
      </c>
      <c r="E165">
        <v>1</v>
      </c>
      <c r="F165" s="8">
        <f t="shared" si="16"/>
        <v>0.24424203574782716</v>
      </c>
      <c r="G165" s="8">
        <f t="shared" si="17"/>
        <v>1</v>
      </c>
      <c r="I165">
        <v>201</v>
      </c>
      <c r="J165">
        <v>13</v>
      </c>
      <c r="K165">
        <v>5</v>
      </c>
      <c r="L165" s="8" t="str">
        <f t="shared" si="18"/>
        <v/>
      </c>
      <c r="M165" s="8" t="str">
        <f t="shared" si="19"/>
        <v/>
      </c>
    </row>
    <row r="166" spans="3:13" x14ac:dyDescent="0.25">
      <c r="C166">
        <v>157</v>
      </c>
      <c r="D166">
        <v>2</v>
      </c>
      <c r="E166">
        <v>1</v>
      </c>
      <c r="F166" s="8">
        <f t="shared" si="16"/>
        <v>0.25582504733083894</v>
      </c>
      <c r="G166" s="8">
        <f t="shared" si="17"/>
        <v>2</v>
      </c>
      <c r="I166">
        <v>204</v>
      </c>
      <c r="J166">
        <v>94</v>
      </c>
      <c r="K166">
        <v>3</v>
      </c>
      <c r="L166" s="8" t="str">
        <f t="shared" si="18"/>
        <v/>
      </c>
      <c r="M166" s="8" t="str">
        <f t="shared" si="19"/>
        <v/>
      </c>
    </row>
    <row r="167" spans="3:13" x14ac:dyDescent="0.25">
      <c r="C167">
        <v>158</v>
      </c>
      <c r="D167">
        <v>1</v>
      </c>
      <c r="E167">
        <v>1</v>
      </c>
      <c r="F167" s="8">
        <f t="shared" si="16"/>
        <v>0.24424203574782716</v>
      </c>
      <c r="G167" s="8">
        <f t="shared" si="17"/>
        <v>1</v>
      </c>
      <c r="I167">
        <v>206</v>
      </c>
      <c r="J167">
        <v>36</v>
      </c>
      <c r="K167">
        <v>4</v>
      </c>
      <c r="L167" s="8" t="str">
        <f t="shared" si="18"/>
        <v/>
      </c>
      <c r="M167" s="8" t="str">
        <f t="shared" si="19"/>
        <v/>
      </c>
    </row>
    <row r="168" spans="3:13" x14ac:dyDescent="0.25">
      <c r="C168">
        <v>159</v>
      </c>
      <c r="D168">
        <v>3</v>
      </c>
      <c r="E168">
        <v>1</v>
      </c>
      <c r="F168" s="8">
        <f t="shared" si="16"/>
        <v>2.2674080589138508</v>
      </c>
      <c r="G168" s="8">
        <f t="shared" si="17"/>
        <v>3</v>
      </c>
      <c r="I168">
        <v>207</v>
      </c>
      <c r="J168">
        <v>8</v>
      </c>
      <c r="K168">
        <v>2</v>
      </c>
      <c r="L168" s="8">
        <f t="shared" si="18"/>
        <v>676</v>
      </c>
      <c r="M168" s="8">
        <f t="shared" si="19"/>
        <v>8</v>
      </c>
    </row>
    <row r="169" spans="3:13" x14ac:dyDescent="0.25">
      <c r="C169">
        <v>160</v>
      </c>
      <c r="D169">
        <v>1</v>
      </c>
      <c r="E169">
        <v>1</v>
      </c>
      <c r="F169" s="8">
        <f t="shared" si="16"/>
        <v>0.24424203574782716</v>
      </c>
      <c r="G169" s="8">
        <f t="shared" si="17"/>
        <v>1</v>
      </c>
      <c r="I169">
        <v>208</v>
      </c>
      <c r="J169">
        <v>1</v>
      </c>
      <c r="K169">
        <v>2</v>
      </c>
      <c r="L169" s="8">
        <f t="shared" si="18"/>
        <v>1089</v>
      </c>
      <c r="M169" s="8">
        <f t="shared" si="19"/>
        <v>1</v>
      </c>
    </row>
    <row r="170" spans="3:13" x14ac:dyDescent="0.25">
      <c r="C170">
        <v>161</v>
      </c>
      <c r="D170">
        <v>1</v>
      </c>
      <c r="E170">
        <v>1</v>
      </c>
      <c r="F170" s="8">
        <f t="shared" si="16"/>
        <v>0.24424203574782716</v>
      </c>
      <c r="G170" s="8">
        <f t="shared" si="17"/>
        <v>1</v>
      </c>
      <c r="I170">
        <v>209</v>
      </c>
      <c r="J170">
        <v>8</v>
      </c>
      <c r="K170">
        <v>3</v>
      </c>
      <c r="L170" s="8" t="str">
        <f t="shared" si="18"/>
        <v/>
      </c>
      <c r="M170" s="8" t="str">
        <f t="shared" si="19"/>
        <v/>
      </c>
    </row>
    <row r="171" spans="3:13" x14ac:dyDescent="0.25">
      <c r="C171">
        <v>162</v>
      </c>
      <c r="D171">
        <v>1</v>
      </c>
      <c r="E171">
        <v>1</v>
      </c>
      <c r="F171" s="8">
        <f t="shared" si="16"/>
        <v>0.24424203574782716</v>
      </c>
      <c r="G171" s="8">
        <f t="shared" si="17"/>
        <v>1</v>
      </c>
      <c r="I171">
        <v>211</v>
      </c>
      <c r="J171">
        <v>143</v>
      </c>
      <c r="K171">
        <v>2</v>
      </c>
      <c r="L171" s="8">
        <f t="shared" si="18"/>
        <v>11881</v>
      </c>
      <c r="M171" s="8">
        <f t="shared" si="19"/>
        <v>143</v>
      </c>
    </row>
    <row r="172" spans="3:13" x14ac:dyDescent="0.25">
      <c r="C172">
        <v>163</v>
      </c>
      <c r="D172">
        <v>1</v>
      </c>
      <c r="E172">
        <v>2</v>
      </c>
      <c r="F172" s="8" t="str">
        <f t="shared" si="16"/>
        <v/>
      </c>
      <c r="G172" s="8" t="str">
        <f t="shared" si="17"/>
        <v/>
      </c>
      <c r="I172">
        <v>213</v>
      </c>
      <c r="J172">
        <v>10</v>
      </c>
      <c r="K172">
        <v>5</v>
      </c>
      <c r="L172" s="8" t="str">
        <f t="shared" si="18"/>
        <v/>
      </c>
      <c r="M172" s="8" t="str">
        <f t="shared" si="19"/>
        <v/>
      </c>
    </row>
    <row r="173" spans="3:13" x14ac:dyDescent="0.25">
      <c r="C173">
        <v>164</v>
      </c>
      <c r="D173">
        <v>1</v>
      </c>
      <c r="E173">
        <v>1</v>
      </c>
      <c r="F173" s="8">
        <f t="shared" si="16"/>
        <v>0.24424203574782716</v>
      </c>
      <c r="G173" s="8">
        <f t="shared" si="17"/>
        <v>1</v>
      </c>
      <c r="I173">
        <v>214</v>
      </c>
      <c r="J173">
        <v>52</v>
      </c>
      <c r="K173">
        <v>2</v>
      </c>
      <c r="L173" s="8">
        <f t="shared" si="18"/>
        <v>324</v>
      </c>
      <c r="M173" s="8">
        <f t="shared" si="19"/>
        <v>52</v>
      </c>
    </row>
    <row r="174" spans="3:13" x14ac:dyDescent="0.25">
      <c r="C174">
        <v>165</v>
      </c>
      <c r="D174">
        <v>1</v>
      </c>
      <c r="E174">
        <v>1</v>
      </c>
      <c r="F174" s="8">
        <f t="shared" si="16"/>
        <v>0.24424203574782716</v>
      </c>
      <c r="G174" s="8">
        <f t="shared" si="17"/>
        <v>1</v>
      </c>
      <c r="I174">
        <v>215</v>
      </c>
      <c r="J174">
        <v>72</v>
      </c>
      <c r="K174">
        <v>2</v>
      </c>
      <c r="L174" s="8">
        <f t="shared" si="18"/>
        <v>1444</v>
      </c>
      <c r="M174" s="8">
        <f t="shared" si="19"/>
        <v>72</v>
      </c>
    </row>
    <row r="175" spans="3:13" x14ac:dyDescent="0.25">
      <c r="C175">
        <v>166</v>
      </c>
      <c r="D175">
        <v>1</v>
      </c>
      <c r="E175">
        <v>2</v>
      </c>
      <c r="F175" s="8" t="str">
        <f t="shared" si="16"/>
        <v/>
      </c>
      <c r="G175" s="8" t="str">
        <f t="shared" si="17"/>
        <v/>
      </c>
      <c r="I175">
        <v>217</v>
      </c>
      <c r="J175">
        <v>50</v>
      </c>
      <c r="K175">
        <v>2</v>
      </c>
      <c r="L175" s="8">
        <f t="shared" si="18"/>
        <v>256</v>
      </c>
      <c r="M175" s="8">
        <f t="shared" si="19"/>
        <v>50</v>
      </c>
    </row>
    <row r="176" spans="3:13" x14ac:dyDescent="0.25">
      <c r="C176">
        <v>167</v>
      </c>
      <c r="D176">
        <v>1</v>
      </c>
      <c r="E176">
        <v>1</v>
      </c>
      <c r="F176" s="8">
        <f t="shared" si="16"/>
        <v>0.24424203574782716</v>
      </c>
      <c r="G176" s="8">
        <f t="shared" si="17"/>
        <v>1</v>
      </c>
      <c r="I176">
        <v>219</v>
      </c>
      <c r="J176">
        <v>15</v>
      </c>
      <c r="K176">
        <v>2</v>
      </c>
      <c r="L176" s="8">
        <f t="shared" si="18"/>
        <v>361</v>
      </c>
      <c r="M176" s="8">
        <f t="shared" si="19"/>
        <v>15</v>
      </c>
    </row>
    <row r="177" spans="3:13" x14ac:dyDescent="0.25">
      <c r="C177">
        <v>168</v>
      </c>
      <c r="D177">
        <v>1</v>
      </c>
      <c r="E177">
        <v>1</v>
      </c>
      <c r="F177" s="8">
        <f t="shared" si="16"/>
        <v>0.24424203574782716</v>
      </c>
      <c r="G177" s="8">
        <f t="shared" si="17"/>
        <v>1</v>
      </c>
      <c r="I177">
        <v>220</v>
      </c>
      <c r="J177">
        <v>18</v>
      </c>
      <c r="K177">
        <v>3</v>
      </c>
      <c r="L177" s="8" t="str">
        <f t="shared" si="18"/>
        <v/>
      </c>
      <c r="M177" s="8" t="str">
        <f t="shared" si="19"/>
        <v/>
      </c>
    </row>
    <row r="178" spans="3:13" x14ac:dyDescent="0.25">
      <c r="C178">
        <v>169</v>
      </c>
      <c r="D178">
        <v>1</v>
      </c>
      <c r="E178">
        <v>1</v>
      </c>
      <c r="F178" s="8">
        <f t="shared" si="16"/>
        <v>0.24424203574782716</v>
      </c>
      <c r="G178" s="8">
        <f t="shared" si="17"/>
        <v>1</v>
      </c>
      <c r="I178">
        <v>221</v>
      </c>
      <c r="J178">
        <v>20</v>
      </c>
      <c r="K178">
        <v>2</v>
      </c>
      <c r="L178" s="8">
        <f t="shared" si="18"/>
        <v>196</v>
      </c>
      <c r="M178" s="8">
        <f t="shared" si="19"/>
        <v>20</v>
      </c>
    </row>
    <row r="179" spans="3:13" x14ac:dyDescent="0.25">
      <c r="C179">
        <v>170</v>
      </c>
      <c r="D179">
        <v>1</v>
      </c>
      <c r="E179">
        <v>1</v>
      </c>
      <c r="F179" s="8">
        <f t="shared" si="16"/>
        <v>0.24424203574782716</v>
      </c>
      <c r="G179" s="8">
        <f t="shared" si="17"/>
        <v>1</v>
      </c>
      <c r="I179">
        <v>222</v>
      </c>
      <c r="J179">
        <v>24</v>
      </c>
      <c r="K179">
        <v>3</v>
      </c>
      <c r="L179" s="8" t="str">
        <f t="shared" si="18"/>
        <v/>
      </c>
      <c r="M179" s="8" t="str">
        <f t="shared" si="19"/>
        <v/>
      </c>
    </row>
    <row r="180" spans="3:13" x14ac:dyDescent="0.25">
      <c r="C180">
        <v>171</v>
      </c>
      <c r="D180">
        <v>1</v>
      </c>
      <c r="E180">
        <v>1</v>
      </c>
      <c r="F180" s="8">
        <f t="shared" si="16"/>
        <v>0.24424203574782716</v>
      </c>
      <c r="G180" s="8">
        <f t="shared" si="17"/>
        <v>1</v>
      </c>
      <c r="I180">
        <v>223</v>
      </c>
      <c r="J180">
        <v>30</v>
      </c>
      <c r="K180">
        <v>3</v>
      </c>
      <c r="L180" s="8" t="str">
        <f t="shared" si="18"/>
        <v/>
      </c>
      <c r="M180" s="8" t="str">
        <f t="shared" si="19"/>
        <v/>
      </c>
    </row>
    <row r="181" spans="3:13" x14ac:dyDescent="0.25">
      <c r="C181">
        <v>172</v>
      </c>
      <c r="D181">
        <v>1</v>
      </c>
      <c r="E181">
        <v>1</v>
      </c>
      <c r="F181" s="8">
        <f t="shared" si="16"/>
        <v>0.24424203574782716</v>
      </c>
      <c r="G181" s="8">
        <f t="shared" si="17"/>
        <v>1</v>
      </c>
      <c r="I181">
        <v>224</v>
      </c>
      <c r="J181">
        <v>1</v>
      </c>
      <c r="K181">
        <v>3</v>
      </c>
      <c r="L181" s="8" t="str">
        <f t="shared" si="18"/>
        <v/>
      </c>
      <c r="M181" s="8" t="str">
        <f t="shared" si="19"/>
        <v/>
      </c>
    </row>
    <row r="182" spans="3:13" x14ac:dyDescent="0.25">
      <c r="C182">
        <v>173</v>
      </c>
      <c r="D182">
        <v>2</v>
      </c>
      <c r="E182">
        <v>1</v>
      </c>
      <c r="F182" s="8">
        <f t="shared" si="16"/>
        <v>0.25582504733083894</v>
      </c>
      <c r="G182" s="8">
        <f t="shared" si="17"/>
        <v>2</v>
      </c>
      <c r="I182">
        <v>226</v>
      </c>
      <c r="J182">
        <v>26</v>
      </c>
      <c r="K182">
        <v>3</v>
      </c>
      <c r="L182" s="8" t="str">
        <f t="shared" si="18"/>
        <v/>
      </c>
      <c r="M182" s="8" t="str">
        <f t="shared" si="19"/>
        <v/>
      </c>
    </row>
    <row r="183" spans="3:13" x14ac:dyDescent="0.25">
      <c r="C183">
        <v>174</v>
      </c>
      <c r="D183">
        <v>1</v>
      </c>
      <c r="E183">
        <v>1</v>
      </c>
      <c r="F183" s="8">
        <f t="shared" si="16"/>
        <v>0.24424203574782716</v>
      </c>
      <c r="G183" s="8">
        <f t="shared" si="17"/>
        <v>1</v>
      </c>
      <c r="I183">
        <v>229</v>
      </c>
      <c r="J183">
        <v>1</v>
      </c>
      <c r="K183">
        <v>2</v>
      </c>
      <c r="L183" s="8">
        <f t="shared" si="18"/>
        <v>1089</v>
      </c>
      <c r="M183" s="8">
        <f t="shared" si="19"/>
        <v>1</v>
      </c>
    </row>
    <row r="184" spans="3:13" x14ac:dyDescent="0.25">
      <c r="C184">
        <v>175</v>
      </c>
      <c r="D184">
        <v>1</v>
      </c>
      <c r="E184">
        <v>1</v>
      </c>
      <c r="F184" s="8">
        <f t="shared" si="16"/>
        <v>0.24424203574782716</v>
      </c>
      <c r="G184" s="8">
        <f t="shared" si="17"/>
        <v>1</v>
      </c>
      <c r="I184">
        <v>230</v>
      </c>
      <c r="J184">
        <v>38</v>
      </c>
      <c r="K184">
        <v>5</v>
      </c>
      <c r="L184" s="8" t="str">
        <f t="shared" si="18"/>
        <v/>
      </c>
      <c r="M184" s="8" t="str">
        <f t="shared" si="19"/>
        <v/>
      </c>
    </row>
    <row r="185" spans="3:13" x14ac:dyDescent="0.25">
      <c r="C185">
        <v>176</v>
      </c>
      <c r="D185">
        <v>1</v>
      </c>
      <c r="E185">
        <v>1</v>
      </c>
      <c r="F185" s="8">
        <f t="shared" si="16"/>
        <v>0.24424203574782716</v>
      </c>
      <c r="G185" s="8">
        <f t="shared" si="17"/>
        <v>1</v>
      </c>
      <c r="I185">
        <v>231</v>
      </c>
      <c r="J185">
        <v>24</v>
      </c>
      <c r="K185">
        <v>2</v>
      </c>
      <c r="L185" s="8">
        <f t="shared" si="18"/>
        <v>100</v>
      </c>
      <c r="M185" s="8">
        <f t="shared" si="19"/>
        <v>24</v>
      </c>
    </row>
    <row r="186" spans="3:13" x14ac:dyDescent="0.25">
      <c r="C186">
        <v>177</v>
      </c>
      <c r="D186">
        <v>1</v>
      </c>
      <c r="E186">
        <v>1</v>
      </c>
      <c r="F186" s="8">
        <f t="shared" si="16"/>
        <v>0.24424203574782716</v>
      </c>
      <c r="G186" s="8">
        <f t="shared" si="17"/>
        <v>1</v>
      </c>
      <c r="I186">
        <v>232</v>
      </c>
      <c r="J186">
        <v>47</v>
      </c>
      <c r="K186">
        <v>4</v>
      </c>
      <c r="L186" s="8" t="str">
        <f t="shared" si="18"/>
        <v/>
      </c>
      <c r="M186" s="8" t="str">
        <f t="shared" si="19"/>
        <v/>
      </c>
    </row>
    <row r="187" spans="3:13" x14ac:dyDescent="0.25">
      <c r="C187">
        <v>178</v>
      </c>
      <c r="D187">
        <v>4</v>
      </c>
      <c r="E187">
        <v>1</v>
      </c>
      <c r="F187" s="8">
        <f t="shared" si="16"/>
        <v>6.2789910704968621</v>
      </c>
      <c r="G187" s="8">
        <f t="shared" si="17"/>
        <v>4</v>
      </c>
      <c r="I187">
        <v>233</v>
      </c>
      <c r="J187">
        <v>34</v>
      </c>
      <c r="K187">
        <v>3</v>
      </c>
      <c r="L187" s="8" t="str">
        <f t="shared" si="18"/>
        <v/>
      </c>
      <c r="M187" s="8" t="str">
        <f t="shared" si="19"/>
        <v/>
      </c>
    </row>
    <row r="188" spans="3:13" x14ac:dyDescent="0.25">
      <c r="C188">
        <v>179</v>
      </c>
      <c r="D188">
        <v>2</v>
      </c>
      <c r="E188">
        <v>1</v>
      </c>
      <c r="F188" s="8">
        <f t="shared" si="16"/>
        <v>0.25582504733083894</v>
      </c>
      <c r="G188" s="8">
        <f t="shared" si="17"/>
        <v>2</v>
      </c>
      <c r="I188">
        <v>234</v>
      </c>
      <c r="J188">
        <v>38</v>
      </c>
      <c r="K188">
        <v>2</v>
      </c>
      <c r="L188" s="8">
        <f t="shared" si="18"/>
        <v>16</v>
      </c>
      <c r="M188" s="8">
        <f t="shared" si="19"/>
        <v>38</v>
      </c>
    </row>
    <row r="189" spans="3:13" x14ac:dyDescent="0.25">
      <c r="C189">
        <v>180</v>
      </c>
      <c r="D189">
        <v>1</v>
      </c>
      <c r="E189">
        <v>1</v>
      </c>
      <c r="F189" s="8">
        <f t="shared" si="16"/>
        <v>0.24424203574782716</v>
      </c>
      <c r="G189" s="8">
        <f t="shared" si="17"/>
        <v>1</v>
      </c>
      <c r="I189">
        <v>235</v>
      </c>
      <c r="J189">
        <v>18</v>
      </c>
      <c r="K189">
        <v>2</v>
      </c>
      <c r="L189" s="8">
        <f t="shared" si="18"/>
        <v>256</v>
      </c>
      <c r="M189" s="8">
        <f t="shared" si="19"/>
        <v>18</v>
      </c>
    </row>
    <row r="190" spans="3:13" x14ac:dyDescent="0.25">
      <c r="C190">
        <v>181</v>
      </c>
      <c r="D190">
        <v>2</v>
      </c>
      <c r="E190">
        <v>1</v>
      </c>
      <c r="F190" s="8">
        <f t="shared" si="16"/>
        <v>0.25582504733083894</v>
      </c>
      <c r="G190" s="8">
        <f t="shared" si="17"/>
        <v>2</v>
      </c>
      <c r="I190">
        <v>236</v>
      </c>
      <c r="J190">
        <v>1</v>
      </c>
      <c r="K190">
        <v>2</v>
      </c>
      <c r="L190" s="8">
        <f t="shared" si="18"/>
        <v>1089</v>
      </c>
      <c r="M190" s="8">
        <f t="shared" si="19"/>
        <v>1</v>
      </c>
    </row>
    <row r="191" spans="3:13" x14ac:dyDescent="0.25">
      <c r="C191">
        <v>182</v>
      </c>
      <c r="D191">
        <v>1</v>
      </c>
      <c r="E191">
        <v>1</v>
      </c>
      <c r="F191" s="8">
        <f t="shared" si="16"/>
        <v>0.24424203574782716</v>
      </c>
      <c r="G191" s="8">
        <f t="shared" si="17"/>
        <v>1</v>
      </c>
      <c r="I191">
        <v>237</v>
      </c>
      <c r="J191">
        <v>19</v>
      </c>
      <c r="K191">
        <v>2</v>
      </c>
      <c r="L191" s="8">
        <f t="shared" si="18"/>
        <v>225</v>
      </c>
      <c r="M191" s="8">
        <f t="shared" si="19"/>
        <v>19</v>
      </c>
    </row>
    <row r="192" spans="3:13" x14ac:dyDescent="0.25">
      <c r="C192">
        <v>183</v>
      </c>
      <c r="D192">
        <v>2</v>
      </c>
      <c r="E192">
        <v>1</v>
      </c>
      <c r="F192" s="8">
        <f t="shared" si="16"/>
        <v>0.25582504733083894</v>
      </c>
      <c r="G192" s="8">
        <f t="shared" si="17"/>
        <v>2</v>
      </c>
      <c r="I192">
        <v>238</v>
      </c>
      <c r="J192">
        <v>26</v>
      </c>
      <c r="K192">
        <v>5</v>
      </c>
      <c r="L192" s="8" t="str">
        <f t="shared" si="18"/>
        <v/>
      </c>
      <c r="M192" s="8" t="str">
        <f t="shared" si="19"/>
        <v/>
      </c>
    </row>
    <row r="193" spans="3:13" x14ac:dyDescent="0.25">
      <c r="C193">
        <v>184</v>
      </c>
      <c r="D193">
        <v>3</v>
      </c>
      <c r="E193">
        <v>1</v>
      </c>
      <c r="F193" s="8">
        <f t="shared" si="16"/>
        <v>2.2674080589138508</v>
      </c>
      <c r="G193" s="8">
        <f t="shared" si="17"/>
        <v>3</v>
      </c>
      <c r="I193">
        <v>241</v>
      </c>
      <c r="J193">
        <v>22</v>
      </c>
      <c r="K193">
        <v>2</v>
      </c>
      <c r="L193" s="8">
        <f t="shared" si="18"/>
        <v>144</v>
      </c>
      <c r="M193" s="8">
        <f t="shared" si="19"/>
        <v>22</v>
      </c>
    </row>
    <row r="194" spans="3:13" x14ac:dyDescent="0.25">
      <c r="C194">
        <v>185</v>
      </c>
      <c r="D194">
        <v>3</v>
      </c>
      <c r="E194">
        <v>1</v>
      </c>
      <c r="F194" s="8">
        <f t="shared" si="16"/>
        <v>2.2674080589138508</v>
      </c>
      <c r="G194" s="8">
        <f t="shared" si="17"/>
        <v>3</v>
      </c>
      <c r="I194">
        <v>242</v>
      </c>
      <c r="J194">
        <v>77</v>
      </c>
      <c r="K194">
        <v>5</v>
      </c>
      <c r="L194" s="8" t="str">
        <f t="shared" si="18"/>
        <v/>
      </c>
      <c r="M194" s="8" t="str">
        <f t="shared" si="19"/>
        <v/>
      </c>
    </row>
    <row r="195" spans="3:13" x14ac:dyDescent="0.25">
      <c r="C195">
        <v>186</v>
      </c>
      <c r="D195">
        <v>1</v>
      </c>
      <c r="E195">
        <v>1</v>
      </c>
      <c r="F195" s="8">
        <f t="shared" si="16"/>
        <v>0.24424203574782716</v>
      </c>
      <c r="G195" s="8">
        <f t="shared" si="17"/>
        <v>1</v>
      </c>
      <c r="I195">
        <v>243</v>
      </c>
      <c r="J195">
        <v>1</v>
      </c>
      <c r="K195">
        <v>2</v>
      </c>
      <c r="L195" s="8">
        <f t="shared" si="18"/>
        <v>1089</v>
      </c>
      <c r="M195" s="8">
        <f t="shared" si="19"/>
        <v>1</v>
      </c>
    </row>
    <row r="196" spans="3:13" x14ac:dyDescent="0.25">
      <c r="C196">
        <v>187</v>
      </c>
      <c r="D196">
        <v>1</v>
      </c>
      <c r="E196">
        <v>2</v>
      </c>
      <c r="F196" s="8" t="str">
        <f t="shared" si="16"/>
        <v/>
      </c>
      <c r="G196" s="8" t="str">
        <f t="shared" si="17"/>
        <v/>
      </c>
      <c r="I196">
        <v>246</v>
      </c>
      <c r="J196">
        <v>23</v>
      </c>
      <c r="K196">
        <v>5</v>
      </c>
      <c r="L196" s="8" t="str">
        <f t="shared" si="18"/>
        <v/>
      </c>
      <c r="M196" s="8" t="str">
        <f t="shared" si="19"/>
        <v/>
      </c>
    </row>
    <row r="197" spans="3:13" x14ac:dyDescent="0.25">
      <c r="C197">
        <v>188</v>
      </c>
      <c r="D197">
        <v>1</v>
      </c>
      <c r="E197">
        <v>2</v>
      </c>
      <c r="F197" s="8" t="str">
        <f t="shared" si="16"/>
        <v/>
      </c>
      <c r="G197" s="8" t="str">
        <f t="shared" si="17"/>
        <v/>
      </c>
      <c r="I197">
        <v>248</v>
      </c>
      <c r="J197">
        <v>1</v>
      </c>
      <c r="K197">
        <v>2</v>
      </c>
      <c r="L197" s="8">
        <f t="shared" si="18"/>
        <v>1089</v>
      </c>
      <c r="M197" s="8">
        <f t="shared" si="19"/>
        <v>1</v>
      </c>
    </row>
    <row r="198" spans="3:13" x14ac:dyDescent="0.25">
      <c r="C198">
        <v>189</v>
      </c>
      <c r="D198">
        <v>1</v>
      </c>
      <c r="E198">
        <v>1</v>
      </c>
      <c r="F198" s="8">
        <f t="shared" si="16"/>
        <v>0.24424203574782716</v>
      </c>
      <c r="G198" s="8">
        <f t="shared" si="17"/>
        <v>1</v>
      </c>
      <c r="I198">
        <v>250</v>
      </c>
      <c r="J198">
        <v>29</v>
      </c>
      <c r="K198">
        <v>3</v>
      </c>
      <c r="L198" s="8" t="str">
        <f t="shared" si="18"/>
        <v/>
      </c>
      <c r="M198" s="8" t="str">
        <f t="shared" si="19"/>
        <v/>
      </c>
    </row>
    <row r="199" spans="3:13" x14ac:dyDescent="0.25">
      <c r="C199">
        <v>190</v>
      </c>
      <c r="D199">
        <v>1</v>
      </c>
      <c r="E199">
        <v>1</v>
      </c>
      <c r="F199" s="8">
        <f t="shared" si="16"/>
        <v>0.24424203574782716</v>
      </c>
      <c r="G199" s="8">
        <f t="shared" si="17"/>
        <v>1</v>
      </c>
      <c r="I199">
        <v>253</v>
      </c>
      <c r="J199">
        <v>128</v>
      </c>
      <c r="K199">
        <v>2</v>
      </c>
      <c r="L199" s="8">
        <f t="shared" si="18"/>
        <v>8836</v>
      </c>
      <c r="M199" s="8">
        <f t="shared" si="19"/>
        <v>128</v>
      </c>
    </row>
    <row r="200" spans="3:13" x14ac:dyDescent="0.25">
      <c r="C200">
        <v>191</v>
      </c>
      <c r="D200">
        <v>1</v>
      </c>
      <c r="E200">
        <v>1</v>
      </c>
      <c r="F200" s="8">
        <f t="shared" si="16"/>
        <v>0.24424203574782716</v>
      </c>
      <c r="G200" s="8">
        <f t="shared" si="17"/>
        <v>1</v>
      </c>
      <c r="I200">
        <v>254</v>
      </c>
      <c r="J200">
        <v>14</v>
      </c>
      <c r="K200">
        <v>2</v>
      </c>
      <c r="L200" s="8">
        <f t="shared" si="18"/>
        <v>400</v>
      </c>
      <c r="M200" s="8">
        <f t="shared" si="19"/>
        <v>14</v>
      </c>
    </row>
    <row r="201" spans="3:13" x14ac:dyDescent="0.25">
      <c r="C201">
        <v>192</v>
      </c>
      <c r="D201">
        <v>2</v>
      </c>
      <c r="E201">
        <v>1</v>
      </c>
      <c r="F201" s="8">
        <f t="shared" si="16"/>
        <v>0.25582504733083894</v>
      </c>
      <c r="G201" s="8">
        <f t="shared" si="17"/>
        <v>2</v>
      </c>
      <c r="I201">
        <v>255</v>
      </c>
      <c r="J201">
        <v>13</v>
      </c>
      <c r="K201">
        <v>4</v>
      </c>
      <c r="L201" s="8" t="str">
        <f t="shared" si="18"/>
        <v/>
      </c>
      <c r="M201" s="8" t="str">
        <f t="shared" si="19"/>
        <v/>
      </c>
    </row>
    <row r="202" spans="3:13" x14ac:dyDescent="0.25">
      <c r="C202">
        <v>193</v>
      </c>
      <c r="D202">
        <v>1</v>
      </c>
      <c r="E202">
        <v>1</v>
      </c>
      <c r="F202" s="8">
        <f t="shared" ref="F202:F265" si="20">IF(E202=1,(D202-$D$2)*(D202-$D$2),"")</f>
        <v>0.24424203574782716</v>
      </c>
      <c r="G202" s="8">
        <f t="shared" ref="G202:G265" si="21">IF(E202=1,D202,"")</f>
        <v>1</v>
      </c>
      <c r="I202">
        <v>256</v>
      </c>
      <c r="J202">
        <v>36</v>
      </c>
      <c r="K202">
        <v>2</v>
      </c>
      <c r="L202" s="8">
        <f t="shared" ref="L202:L234" si="22">IF(K202=2,(J202-$J$2)*(J202-$J$2),"")</f>
        <v>4</v>
      </c>
      <c r="M202" s="8">
        <f t="shared" ref="M202:M234" si="23">IF(K202=2,J202,"")</f>
        <v>36</v>
      </c>
    </row>
    <row r="203" spans="3:13" x14ac:dyDescent="0.25">
      <c r="C203">
        <v>194</v>
      </c>
      <c r="D203">
        <v>2</v>
      </c>
      <c r="E203">
        <v>1</v>
      </c>
      <c r="F203" s="8">
        <f t="shared" si="20"/>
        <v>0.25582504733083894</v>
      </c>
      <c r="G203" s="8">
        <f t="shared" si="21"/>
        <v>2</v>
      </c>
      <c r="I203">
        <v>258</v>
      </c>
      <c r="J203">
        <v>55</v>
      </c>
      <c r="K203">
        <v>2</v>
      </c>
      <c r="L203" s="8">
        <f t="shared" si="22"/>
        <v>441</v>
      </c>
      <c r="M203" s="8">
        <f t="shared" si="23"/>
        <v>55</v>
      </c>
    </row>
    <row r="204" spans="3:13" x14ac:dyDescent="0.25">
      <c r="C204">
        <v>195</v>
      </c>
      <c r="D204">
        <v>1</v>
      </c>
      <c r="E204">
        <v>2</v>
      </c>
      <c r="F204" s="8" t="str">
        <f t="shared" si="20"/>
        <v/>
      </c>
      <c r="G204" s="8" t="str">
        <f t="shared" si="21"/>
        <v/>
      </c>
      <c r="I204">
        <v>259</v>
      </c>
      <c r="J204">
        <v>48</v>
      </c>
      <c r="K204">
        <v>5</v>
      </c>
      <c r="L204" s="8" t="str">
        <f t="shared" si="22"/>
        <v/>
      </c>
      <c r="M204" s="8" t="str">
        <f t="shared" si="23"/>
        <v/>
      </c>
    </row>
    <row r="205" spans="3:13" x14ac:dyDescent="0.25">
      <c r="C205">
        <v>196</v>
      </c>
      <c r="D205">
        <v>1</v>
      </c>
      <c r="E205">
        <v>1</v>
      </c>
      <c r="F205" s="8">
        <f t="shared" si="20"/>
        <v>0.24424203574782716</v>
      </c>
      <c r="G205" s="8">
        <f t="shared" si="21"/>
        <v>1</v>
      </c>
      <c r="I205">
        <v>260</v>
      </c>
      <c r="J205">
        <v>75</v>
      </c>
      <c r="K205">
        <v>2</v>
      </c>
      <c r="L205" s="8">
        <f t="shared" si="22"/>
        <v>1681</v>
      </c>
      <c r="M205" s="8">
        <f t="shared" si="23"/>
        <v>75</v>
      </c>
    </row>
    <row r="206" spans="3:13" x14ac:dyDescent="0.25">
      <c r="C206">
        <v>197</v>
      </c>
      <c r="D206">
        <v>1</v>
      </c>
      <c r="E206">
        <v>2</v>
      </c>
      <c r="F206" s="8" t="str">
        <f t="shared" si="20"/>
        <v/>
      </c>
      <c r="G206" s="8" t="str">
        <f t="shared" si="21"/>
        <v/>
      </c>
      <c r="I206">
        <v>261</v>
      </c>
      <c r="J206">
        <v>33</v>
      </c>
      <c r="K206">
        <v>3</v>
      </c>
      <c r="L206" s="8" t="str">
        <f t="shared" si="22"/>
        <v/>
      </c>
      <c r="M206" s="8" t="str">
        <f t="shared" si="23"/>
        <v/>
      </c>
    </row>
    <row r="207" spans="3:13" x14ac:dyDescent="0.25">
      <c r="C207">
        <v>198</v>
      </c>
      <c r="D207">
        <v>1</v>
      </c>
      <c r="E207">
        <v>1</v>
      </c>
      <c r="F207" s="8">
        <f t="shared" si="20"/>
        <v>0.24424203574782716</v>
      </c>
      <c r="G207" s="8">
        <f t="shared" si="21"/>
        <v>1</v>
      </c>
      <c r="I207">
        <v>263</v>
      </c>
      <c r="J207">
        <v>31</v>
      </c>
      <c r="K207">
        <v>3</v>
      </c>
      <c r="L207" s="8" t="str">
        <f t="shared" si="22"/>
        <v/>
      </c>
      <c r="M207" s="8" t="str">
        <f t="shared" si="23"/>
        <v/>
      </c>
    </row>
    <row r="208" spans="3:13" x14ac:dyDescent="0.25">
      <c r="C208">
        <v>199</v>
      </c>
      <c r="D208">
        <v>2</v>
      </c>
      <c r="E208">
        <v>1</v>
      </c>
      <c r="F208" s="8">
        <f t="shared" si="20"/>
        <v>0.25582504733083894</v>
      </c>
      <c r="G208" s="8">
        <f t="shared" si="21"/>
        <v>2</v>
      </c>
      <c r="I208">
        <v>264</v>
      </c>
      <c r="J208">
        <v>20</v>
      </c>
      <c r="K208">
        <v>2</v>
      </c>
      <c r="L208" s="8">
        <f t="shared" si="22"/>
        <v>196</v>
      </c>
      <c r="M208" s="8">
        <f t="shared" si="23"/>
        <v>20</v>
      </c>
    </row>
    <row r="209" spans="3:13" x14ac:dyDescent="0.25">
      <c r="C209">
        <v>200</v>
      </c>
      <c r="D209">
        <v>1</v>
      </c>
      <c r="E209">
        <v>2</v>
      </c>
      <c r="F209" s="8" t="str">
        <f t="shared" si="20"/>
        <v/>
      </c>
      <c r="G209" s="8" t="str">
        <f t="shared" si="21"/>
        <v/>
      </c>
      <c r="I209">
        <v>266</v>
      </c>
      <c r="J209">
        <v>13</v>
      </c>
      <c r="K209">
        <v>2</v>
      </c>
      <c r="L209" s="8">
        <f t="shared" si="22"/>
        <v>441</v>
      </c>
      <c r="M209" s="8">
        <f t="shared" si="23"/>
        <v>13</v>
      </c>
    </row>
    <row r="210" spans="3:13" x14ac:dyDescent="0.25">
      <c r="C210">
        <v>201</v>
      </c>
      <c r="D210">
        <v>1</v>
      </c>
      <c r="E210">
        <v>1</v>
      </c>
      <c r="F210" s="8">
        <f t="shared" si="20"/>
        <v>0.24424203574782716</v>
      </c>
      <c r="G210" s="8">
        <f t="shared" si="21"/>
        <v>1</v>
      </c>
      <c r="I210">
        <v>268</v>
      </c>
      <c r="J210">
        <v>7</v>
      </c>
      <c r="K210">
        <v>3</v>
      </c>
      <c r="L210" s="8" t="str">
        <f t="shared" si="22"/>
        <v/>
      </c>
      <c r="M210" s="8" t="str">
        <f t="shared" si="23"/>
        <v/>
      </c>
    </row>
    <row r="211" spans="3:13" x14ac:dyDescent="0.25">
      <c r="C211">
        <v>202</v>
      </c>
      <c r="D211">
        <v>3</v>
      </c>
      <c r="E211">
        <v>1</v>
      </c>
      <c r="F211" s="8">
        <f t="shared" si="20"/>
        <v>2.2674080589138508</v>
      </c>
      <c r="G211" s="8">
        <f t="shared" si="21"/>
        <v>3</v>
      </c>
      <c r="I211">
        <v>270</v>
      </c>
      <c r="J211">
        <v>18</v>
      </c>
      <c r="K211">
        <v>5</v>
      </c>
      <c r="L211" s="8" t="str">
        <f t="shared" si="22"/>
        <v/>
      </c>
      <c r="M211" s="8" t="str">
        <f t="shared" si="23"/>
        <v/>
      </c>
    </row>
    <row r="212" spans="3:13" x14ac:dyDescent="0.25">
      <c r="C212">
        <v>203</v>
      </c>
      <c r="D212">
        <v>1</v>
      </c>
      <c r="E212">
        <v>1</v>
      </c>
      <c r="F212" s="8">
        <f t="shared" si="20"/>
        <v>0.24424203574782716</v>
      </c>
      <c r="G212" s="8">
        <f t="shared" si="21"/>
        <v>1</v>
      </c>
      <c r="I212">
        <v>271</v>
      </c>
      <c r="J212">
        <v>36</v>
      </c>
      <c r="K212">
        <v>5</v>
      </c>
      <c r="L212" s="8" t="str">
        <f t="shared" si="22"/>
        <v/>
      </c>
      <c r="M212" s="8" t="str">
        <f t="shared" si="23"/>
        <v/>
      </c>
    </row>
    <row r="213" spans="3:13" x14ac:dyDescent="0.25">
      <c r="C213">
        <v>204</v>
      </c>
      <c r="D213">
        <v>1</v>
      </c>
      <c r="E213">
        <v>1</v>
      </c>
      <c r="F213" s="8">
        <f t="shared" si="20"/>
        <v>0.24424203574782716</v>
      </c>
      <c r="G213" s="8">
        <f t="shared" si="21"/>
        <v>1</v>
      </c>
      <c r="I213">
        <v>272</v>
      </c>
      <c r="J213">
        <v>71</v>
      </c>
      <c r="K213">
        <v>2</v>
      </c>
      <c r="L213" s="8">
        <f t="shared" si="22"/>
        <v>1369</v>
      </c>
      <c r="M213" s="8">
        <f t="shared" si="23"/>
        <v>71</v>
      </c>
    </row>
    <row r="214" spans="3:13" x14ac:dyDescent="0.25">
      <c r="C214">
        <v>205</v>
      </c>
      <c r="D214">
        <v>1</v>
      </c>
      <c r="E214">
        <v>1</v>
      </c>
      <c r="F214" s="8">
        <f t="shared" si="20"/>
        <v>0.24424203574782716</v>
      </c>
      <c r="G214" s="8">
        <f t="shared" si="21"/>
        <v>1</v>
      </c>
      <c r="I214">
        <v>273</v>
      </c>
      <c r="J214">
        <v>1</v>
      </c>
      <c r="K214">
        <v>2</v>
      </c>
      <c r="L214" s="8">
        <f t="shared" si="22"/>
        <v>1089</v>
      </c>
      <c r="M214" s="8">
        <f t="shared" si="23"/>
        <v>1</v>
      </c>
    </row>
    <row r="215" spans="3:13" x14ac:dyDescent="0.25">
      <c r="C215">
        <v>206</v>
      </c>
      <c r="D215">
        <v>1</v>
      </c>
      <c r="E215">
        <v>1</v>
      </c>
      <c r="F215" s="8">
        <f t="shared" si="20"/>
        <v>0.24424203574782716</v>
      </c>
      <c r="G215" s="8">
        <f t="shared" si="21"/>
        <v>1</v>
      </c>
      <c r="I215">
        <v>274</v>
      </c>
      <c r="J215">
        <v>30</v>
      </c>
      <c r="K215">
        <v>2</v>
      </c>
      <c r="L215" s="8">
        <f t="shared" si="22"/>
        <v>16</v>
      </c>
      <c r="M215" s="8">
        <f t="shared" si="23"/>
        <v>30</v>
      </c>
    </row>
    <row r="216" spans="3:13" x14ac:dyDescent="0.25">
      <c r="C216">
        <v>207</v>
      </c>
      <c r="D216">
        <v>1</v>
      </c>
      <c r="E216">
        <v>1</v>
      </c>
      <c r="F216" s="8">
        <f t="shared" si="20"/>
        <v>0.24424203574782716</v>
      </c>
      <c r="G216" s="8">
        <f t="shared" si="21"/>
        <v>1</v>
      </c>
      <c r="I216">
        <v>275</v>
      </c>
      <c r="J216">
        <v>25</v>
      </c>
      <c r="K216">
        <v>2</v>
      </c>
      <c r="L216" s="8">
        <f t="shared" si="22"/>
        <v>81</v>
      </c>
      <c r="M216" s="8">
        <f t="shared" si="23"/>
        <v>25</v>
      </c>
    </row>
    <row r="217" spans="3:13" x14ac:dyDescent="0.25">
      <c r="C217">
        <v>208</v>
      </c>
      <c r="D217">
        <v>1</v>
      </c>
      <c r="E217">
        <v>2</v>
      </c>
      <c r="F217" s="8" t="str">
        <f t="shared" si="20"/>
        <v/>
      </c>
      <c r="G217" s="8" t="str">
        <f t="shared" si="21"/>
        <v/>
      </c>
      <c r="I217">
        <v>276</v>
      </c>
      <c r="J217">
        <v>17</v>
      </c>
      <c r="K217">
        <v>2</v>
      </c>
      <c r="L217" s="8">
        <f t="shared" si="22"/>
        <v>289</v>
      </c>
      <c r="M217" s="8">
        <f t="shared" si="23"/>
        <v>17</v>
      </c>
    </row>
    <row r="218" spans="3:13" x14ac:dyDescent="0.25">
      <c r="C218">
        <v>209</v>
      </c>
      <c r="D218">
        <v>1</v>
      </c>
      <c r="E218">
        <v>1</v>
      </c>
      <c r="F218" s="8">
        <f t="shared" si="20"/>
        <v>0.24424203574782716</v>
      </c>
      <c r="G218" s="8">
        <f t="shared" si="21"/>
        <v>1</v>
      </c>
      <c r="I218">
        <v>277</v>
      </c>
      <c r="J218">
        <v>4</v>
      </c>
      <c r="K218">
        <v>3</v>
      </c>
      <c r="L218" s="8" t="str">
        <f t="shared" si="22"/>
        <v/>
      </c>
      <c r="M218" s="8" t="str">
        <f t="shared" si="23"/>
        <v/>
      </c>
    </row>
    <row r="219" spans="3:13" x14ac:dyDescent="0.25">
      <c r="C219">
        <v>210</v>
      </c>
      <c r="D219">
        <v>1</v>
      </c>
      <c r="E219">
        <v>1</v>
      </c>
      <c r="F219" s="8">
        <f t="shared" si="20"/>
        <v>0.24424203574782716</v>
      </c>
      <c r="G219" s="8">
        <f t="shared" si="21"/>
        <v>1</v>
      </c>
      <c r="I219">
        <v>278</v>
      </c>
      <c r="J219">
        <v>1</v>
      </c>
      <c r="K219">
        <v>4</v>
      </c>
      <c r="L219" s="8" t="str">
        <f t="shared" si="22"/>
        <v/>
      </c>
      <c r="M219" s="8" t="str">
        <f t="shared" si="23"/>
        <v/>
      </c>
    </row>
    <row r="220" spans="3:13" x14ac:dyDescent="0.25">
      <c r="C220">
        <v>211</v>
      </c>
      <c r="D220">
        <v>5</v>
      </c>
      <c r="E220">
        <v>1</v>
      </c>
      <c r="F220" s="8">
        <f t="shared" si="20"/>
        <v>12.290574082079875</v>
      </c>
      <c r="G220" s="8">
        <f t="shared" si="21"/>
        <v>5</v>
      </c>
      <c r="I220">
        <v>279</v>
      </c>
      <c r="J220">
        <v>1</v>
      </c>
      <c r="K220">
        <v>2</v>
      </c>
      <c r="L220" s="8">
        <f t="shared" si="22"/>
        <v>1089</v>
      </c>
      <c r="M220" s="8">
        <f t="shared" si="23"/>
        <v>1</v>
      </c>
    </row>
    <row r="221" spans="3:13" x14ac:dyDescent="0.25">
      <c r="C221">
        <v>212</v>
      </c>
      <c r="D221">
        <v>1</v>
      </c>
      <c r="E221">
        <v>1</v>
      </c>
      <c r="F221" s="8">
        <f t="shared" si="20"/>
        <v>0.24424203574782716</v>
      </c>
      <c r="G221" s="8">
        <f t="shared" si="21"/>
        <v>1</v>
      </c>
      <c r="I221">
        <v>280</v>
      </c>
      <c r="J221">
        <v>1</v>
      </c>
      <c r="K221">
        <v>2</v>
      </c>
      <c r="L221" s="8">
        <f t="shared" si="22"/>
        <v>1089</v>
      </c>
      <c r="M221" s="8">
        <f t="shared" si="23"/>
        <v>1</v>
      </c>
    </row>
    <row r="222" spans="3:13" x14ac:dyDescent="0.25">
      <c r="C222">
        <v>213</v>
      </c>
      <c r="D222">
        <v>1</v>
      </c>
      <c r="E222">
        <v>1</v>
      </c>
      <c r="F222" s="8">
        <f t="shared" si="20"/>
        <v>0.24424203574782716</v>
      </c>
      <c r="G222" s="8">
        <f t="shared" si="21"/>
        <v>1</v>
      </c>
      <c r="I222">
        <v>281</v>
      </c>
      <c r="J222">
        <v>1</v>
      </c>
      <c r="K222">
        <v>2</v>
      </c>
      <c r="L222" s="8">
        <f t="shared" si="22"/>
        <v>1089</v>
      </c>
      <c r="M222" s="8">
        <f t="shared" si="23"/>
        <v>1</v>
      </c>
    </row>
    <row r="223" spans="3:13" x14ac:dyDescent="0.25">
      <c r="C223">
        <v>214</v>
      </c>
      <c r="D223">
        <v>1</v>
      </c>
      <c r="E223">
        <v>1</v>
      </c>
      <c r="F223" s="8">
        <f t="shared" si="20"/>
        <v>0.24424203574782716</v>
      </c>
      <c r="G223" s="8">
        <f t="shared" si="21"/>
        <v>1</v>
      </c>
      <c r="I223">
        <v>282</v>
      </c>
      <c r="J223">
        <v>15</v>
      </c>
      <c r="K223">
        <v>3</v>
      </c>
      <c r="L223" s="8" t="str">
        <f t="shared" si="22"/>
        <v/>
      </c>
      <c r="M223" s="8" t="str">
        <f t="shared" si="23"/>
        <v/>
      </c>
    </row>
    <row r="224" spans="3:13" x14ac:dyDescent="0.25">
      <c r="C224">
        <v>215</v>
      </c>
      <c r="D224">
        <v>1</v>
      </c>
      <c r="E224">
        <v>1</v>
      </c>
      <c r="F224" s="8">
        <f t="shared" si="20"/>
        <v>0.24424203574782716</v>
      </c>
      <c r="G224" s="8">
        <f t="shared" si="21"/>
        <v>1</v>
      </c>
      <c r="I224">
        <v>285</v>
      </c>
      <c r="J224">
        <v>105</v>
      </c>
      <c r="K224">
        <v>3</v>
      </c>
      <c r="L224" s="8" t="str">
        <f t="shared" si="22"/>
        <v/>
      </c>
      <c r="M224" s="8" t="str">
        <f t="shared" si="23"/>
        <v/>
      </c>
    </row>
    <row r="225" spans="3:13" x14ac:dyDescent="0.25">
      <c r="C225">
        <v>216</v>
      </c>
      <c r="D225">
        <v>3</v>
      </c>
      <c r="E225">
        <v>1</v>
      </c>
      <c r="F225" s="8">
        <f t="shared" si="20"/>
        <v>2.2674080589138508</v>
      </c>
      <c r="G225" s="8">
        <f t="shared" si="21"/>
        <v>3</v>
      </c>
      <c r="I225">
        <v>287</v>
      </c>
      <c r="J225">
        <v>22</v>
      </c>
      <c r="K225">
        <v>3</v>
      </c>
      <c r="L225" s="8" t="str">
        <f t="shared" si="22"/>
        <v/>
      </c>
      <c r="M225" s="8" t="str">
        <f t="shared" si="23"/>
        <v/>
      </c>
    </row>
    <row r="226" spans="3:13" x14ac:dyDescent="0.25">
      <c r="C226">
        <v>217</v>
      </c>
      <c r="D226">
        <v>1</v>
      </c>
      <c r="E226">
        <v>1</v>
      </c>
      <c r="F226" s="8">
        <f t="shared" si="20"/>
        <v>0.24424203574782716</v>
      </c>
      <c r="G226" s="8">
        <f t="shared" si="21"/>
        <v>1</v>
      </c>
      <c r="I226">
        <v>288</v>
      </c>
      <c r="J226">
        <v>30</v>
      </c>
      <c r="K226">
        <v>2</v>
      </c>
      <c r="L226" s="8">
        <f t="shared" si="22"/>
        <v>16</v>
      </c>
      <c r="M226" s="8">
        <f t="shared" si="23"/>
        <v>30</v>
      </c>
    </row>
    <row r="227" spans="3:13" x14ac:dyDescent="0.25">
      <c r="C227">
        <v>218</v>
      </c>
      <c r="D227">
        <v>1</v>
      </c>
      <c r="E227">
        <v>1</v>
      </c>
      <c r="F227" s="8">
        <f t="shared" si="20"/>
        <v>0.24424203574782716</v>
      </c>
      <c r="G227" s="8">
        <f t="shared" si="21"/>
        <v>1</v>
      </c>
      <c r="I227">
        <v>289</v>
      </c>
      <c r="J227">
        <v>20</v>
      </c>
      <c r="K227">
        <v>3</v>
      </c>
      <c r="L227" s="8" t="str">
        <f t="shared" si="22"/>
        <v/>
      </c>
      <c r="M227" s="8" t="str">
        <f t="shared" si="23"/>
        <v/>
      </c>
    </row>
    <row r="228" spans="3:13" x14ac:dyDescent="0.25">
      <c r="C228">
        <v>219</v>
      </c>
      <c r="D228">
        <v>1</v>
      </c>
      <c r="E228">
        <v>1</v>
      </c>
      <c r="F228" s="8">
        <f t="shared" si="20"/>
        <v>0.24424203574782716</v>
      </c>
      <c r="G228" s="8">
        <f t="shared" si="21"/>
        <v>1</v>
      </c>
      <c r="I228">
        <v>292</v>
      </c>
      <c r="J228">
        <v>54</v>
      </c>
      <c r="K228">
        <v>3</v>
      </c>
      <c r="L228" s="8" t="str">
        <f t="shared" si="22"/>
        <v/>
      </c>
      <c r="M228" s="8" t="str">
        <f t="shared" si="23"/>
        <v/>
      </c>
    </row>
    <row r="229" spans="3:13" x14ac:dyDescent="0.25">
      <c r="C229">
        <v>220</v>
      </c>
      <c r="D229">
        <v>1</v>
      </c>
      <c r="E229">
        <v>1</v>
      </c>
      <c r="F229" s="8">
        <f t="shared" si="20"/>
        <v>0.24424203574782716</v>
      </c>
      <c r="G229" s="8">
        <f t="shared" si="21"/>
        <v>1</v>
      </c>
      <c r="I229">
        <v>293</v>
      </c>
      <c r="J229">
        <v>1</v>
      </c>
      <c r="K229">
        <v>2</v>
      </c>
      <c r="L229" s="8">
        <f t="shared" si="22"/>
        <v>1089</v>
      </c>
      <c r="M229" s="8">
        <f t="shared" si="23"/>
        <v>1</v>
      </c>
    </row>
    <row r="230" spans="3:13" x14ac:dyDescent="0.25">
      <c r="C230">
        <v>221</v>
      </c>
      <c r="D230">
        <v>1</v>
      </c>
      <c r="E230">
        <v>1</v>
      </c>
      <c r="F230" s="8">
        <f t="shared" si="20"/>
        <v>0.24424203574782716</v>
      </c>
      <c r="G230" s="8">
        <f t="shared" si="21"/>
        <v>1</v>
      </c>
      <c r="I230">
        <v>294</v>
      </c>
      <c r="J230">
        <v>1</v>
      </c>
      <c r="K230">
        <v>2</v>
      </c>
      <c r="L230" s="8">
        <f t="shared" si="22"/>
        <v>1089</v>
      </c>
      <c r="M230" s="8">
        <f t="shared" si="23"/>
        <v>1</v>
      </c>
    </row>
    <row r="231" spans="3:13" x14ac:dyDescent="0.25">
      <c r="C231">
        <v>222</v>
      </c>
      <c r="D231">
        <v>1</v>
      </c>
      <c r="E231">
        <v>1</v>
      </c>
      <c r="F231" s="8">
        <f t="shared" si="20"/>
        <v>0.24424203574782716</v>
      </c>
      <c r="G231" s="8">
        <f t="shared" si="21"/>
        <v>1</v>
      </c>
      <c r="I231">
        <v>295</v>
      </c>
      <c r="J231">
        <v>22</v>
      </c>
      <c r="K231">
        <v>2</v>
      </c>
      <c r="L231" s="8">
        <f t="shared" si="22"/>
        <v>144</v>
      </c>
      <c r="M231" s="8">
        <f t="shared" si="23"/>
        <v>22</v>
      </c>
    </row>
    <row r="232" spans="3:13" x14ac:dyDescent="0.25">
      <c r="C232">
        <v>223</v>
      </c>
      <c r="D232">
        <v>1</v>
      </c>
      <c r="E232">
        <v>1</v>
      </c>
      <c r="F232" s="8">
        <f t="shared" si="20"/>
        <v>0.24424203574782716</v>
      </c>
      <c r="G232" s="8">
        <f t="shared" si="21"/>
        <v>1</v>
      </c>
      <c r="I232">
        <v>296</v>
      </c>
      <c r="J232">
        <v>42</v>
      </c>
      <c r="K232">
        <v>2</v>
      </c>
      <c r="L232" s="8">
        <f t="shared" si="22"/>
        <v>64</v>
      </c>
      <c r="M232" s="8">
        <f t="shared" si="23"/>
        <v>42</v>
      </c>
    </row>
    <row r="233" spans="3:13" x14ac:dyDescent="0.25">
      <c r="C233">
        <v>224</v>
      </c>
      <c r="D233">
        <v>1</v>
      </c>
      <c r="E233">
        <v>3</v>
      </c>
      <c r="F233" s="8" t="str">
        <f t="shared" si="20"/>
        <v/>
      </c>
      <c r="G233" s="8" t="str">
        <f t="shared" si="21"/>
        <v/>
      </c>
      <c r="I233">
        <v>297</v>
      </c>
      <c r="J233">
        <v>60</v>
      </c>
      <c r="K233">
        <v>2</v>
      </c>
      <c r="L233" s="8">
        <f t="shared" si="22"/>
        <v>676</v>
      </c>
      <c r="M233" s="8">
        <f t="shared" si="23"/>
        <v>60</v>
      </c>
    </row>
    <row r="234" spans="3:13" x14ac:dyDescent="0.25">
      <c r="C234">
        <v>225</v>
      </c>
      <c r="D234">
        <v>2</v>
      </c>
      <c r="E234">
        <v>1</v>
      </c>
      <c r="F234" s="8">
        <f t="shared" si="20"/>
        <v>0.25582504733083894</v>
      </c>
      <c r="G234" s="8">
        <f t="shared" si="21"/>
        <v>2</v>
      </c>
      <c r="I234">
        <v>299</v>
      </c>
      <c r="J234">
        <v>22</v>
      </c>
      <c r="K234">
        <v>3</v>
      </c>
      <c r="L234" s="8" t="str">
        <f t="shared" si="22"/>
        <v/>
      </c>
      <c r="M234" s="8" t="str">
        <f t="shared" si="23"/>
        <v/>
      </c>
    </row>
    <row r="235" spans="3:13" x14ac:dyDescent="0.25">
      <c r="C235">
        <v>226</v>
      </c>
      <c r="D235">
        <v>1</v>
      </c>
      <c r="E235">
        <v>1</v>
      </c>
      <c r="F235" s="8">
        <f t="shared" si="20"/>
        <v>0.24424203574782716</v>
      </c>
      <c r="G235" s="8">
        <f t="shared" si="21"/>
        <v>1</v>
      </c>
    </row>
    <row r="236" spans="3:13" x14ac:dyDescent="0.25">
      <c r="C236">
        <v>227</v>
      </c>
      <c r="D236">
        <v>1</v>
      </c>
      <c r="E236">
        <v>1</v>
      </c>
      <c r="F236" s="8">
        <f t="shared" si="20"/>
        <v>0.24424203574782716</v>
      </c>
      <c r="G236" s="8">
        <f t="shared" si="21"/>
        <v>1</v>
      </c>
    </row>
    <row r="237" spans="3:13" x14ac:dyDescent="0.25">
      <c r="C237">
        <v>228</v>
      </c>
      <c r="D237">
        <v>1</v>
      </c>
      <c r="E237">
        <v>1</v>
      </c>
      <c r="F237" s="8">
        <f t="shared" si="20"/>
        <v>0.24424203574782716</v>
      </c>
      <c r="G237" s="8">
        <f t="shared" si="21"/>
        <v>1</v>
      </c>
    </row>
    <row r="238" spans="3:13" x14ac:dyDescent="0.25">
      <c r="C238">
        <v>229</v>
      </c>
      <c r="D238">
        <v>1</v>
      </c>
      <c r="E238">
        <v>2</v>
      </c>
      <c r="F238" s="8" t="str">
        <f t="shared" si="20"/>
        <v/>
      </c>
      <c r="G238" s="8" t="str">
        <f t="shared" si="21"/>
        <v/>
      </c>
    </row>
    <row r="239" spans="3:13" x14ac:dyDescent="0.25">
      <c r="C239">
        <v>230</v>
      </c>
      <c r="D239">
        <v>1</v>
      </c>
      <c r="E239">
        <v>1</v>
      </c>
      <c r="F239" s="8">
        <f t="shared" si="20"/>
        <v>0.24424203574782716</v>
      </c>
      <c r="G239" s="8">
        <f t="shared" si="21"/>
        <v>1</v>
      </c>
    </row>
    <row r="240" spans="3:13" x14ac:dyDescent="0.25">
      <c r="C240">
        <v>231</v>
      </c>
      <c r="D240">
        <v>2</v>
      </c>
      <c r="E240">
        <v>1</v>
      </c>
      <c r="F240" s="8">
        <f t="shared" si="20"/>
        <v>0.25582504733083894</v>
      </c>
      <c r="G240" s="8">
        <f t="shared" si="21"/>
        <v>2</v>
      </c>
    </row>
    <row r="241" spans="3:7" x14ac:dyDescent="0.25">
      <c r="C241">
        <v>232</v>
      </c>
      <c r="D241">
        <v>1</v>
      </c>
      <c r="E241">
        <v>1</v>
      </c>
      <c r="F241" s="8">
        <f t="shared" si="20"/>
        <v>0.24424203574782716</v>
      </c>
      <c r="G241" s="8">
        <f t="shared" si="21"/>
        <v>1</v>
      </c>
    </row>
    <row r="242" spans="3:7" x14ac:dyDescent="0.25">
      <c r="C242">
        <v>233</v>
      </c>
      <c r="D242">
        <v>1</v>
      </c>
      <c r="E242">
        <v>1</v>
      </c>
      <c r="F242" s="8">
        <f t="shared" si="20"/>
        <v>0.24424203574782716</v>
      </c>
      <c r="G242" s="8">
        <f t="shared" si="21"/>
        <v>1</v>
      </c>
    </row>
    <row r="243" spans="3:7" x14ac:dyDescent="0.25">
      <c r="C243">
        <v>234</v>
      </c>
      <c r="D243">
        <v>1</v>
      </c>
      <c r="E243">
        <v>1</v>
      </c>
      <c r="F243" s="8">
        <f t="shared" si="20"/>
        <v>0.24424203574782716</v>
      </c>
      <c r="G243" s="8">
        <f t="shared" si="21"/>
        <v>1</v>
      </c>
    </row>
    <row r="244" spans="3:7" x14ac:dyDescent="0.25">
      <c r="C244">
        <v>235</v>
      </c>
      <c r="D244">
        <v>1</v>
      </c>
      <c r="E244">
        <v>1</v>
      </c>
      <c r="F244" s="8">
        <f t="shared" si="20"/>
        <v>0.24424203574782716</v>
      </c>
      <c r="G244" s="8">
        <f t="shared" si="21"/>
        <v>1</v>
      </c>
    </row>
    <row r="245" spans="3:7" x14ac:dyDescent="0.25">
      <c r="C245">
        <v>236</v>
      </c>
      <c r="D245">
        <v>1</v>
      </c>
      <c r="E245">
        <v>2</v>
      </c>
      <c r="F245" s="8" t="str">
        <f t="shared" si="20"/>
        <v/>
      </c>
      <c r="G245" s="8" t="str">
        <f t="shared" si="21"/>
        <v/>
      </c>
    </row>
    <row r="246" spans="3:7" x14ac:dyDescent="0.25">
      <c r="C246">
        <v>237</v>
      </c>
      <c r="D246">
        <v>1</v>
      </c>
      <c r="E246">
        <v>1</v>
      </c>
      <c r="F246" s="8">
        <f t="shared" si="20"/>
        <v>0.24424203574782716</v>
      </c>
      <c r="G246" s="8">
        <f t="shared" si="21"/>
        <v>1</v>
      </c>
    </row>
    <row r="247" spans="3:7" x14ac:dyDescent="0.25">
      <c r="C247">
        <v>238</v>
      </c>
      <c r="D247">
        <v>1</v>
      </c>
      <c r="E247">
        <v>1</v>
      </c>
      <c r="F247" s="8">
        <f t="shared" si="20"/>
        <v>0.24424203574782716</v>
      </c>
      <c r="G247" s="8">
        <f t="shared" si="21"/>
        <v>1</v>
      </c>
    </row>
    <row r="248" spans="3:7" x14ac:dyDescent="0.25">
      <c r="C248">
        <v>239</v>
      </c>
      <c r="D248">
        <v>1</v>
      </c>
      <c r="E248">
        <v>1</v>
      </c>
      <c r="F248" s="8">
        <f t="shared" si="20"/>
        <v>0.24424203574782716</v>
      </c>
      <c r="G248" s="8">
        <f t="shared" si="21"/>
        <v>1</v>
      </c>
    </row>
    <row r="249" spans="3:7" x14ac:dyDescent="0.25">
      <c r="C249">
        <v>240</v>
      </c>
      <c r="D249">
        <v>1</v>
      </c>
      <c r="E249">
        <v>1</v>
      </c>
      <c r="F249" s="8">
        <f t="shared" si="20"/>
        <v>0.24424203574782716</v>
      </c>
      <c r="G249" s="8">
        <f t="shared" si="21"/>
        <v>1</v>
      </c>
    </row>
    <row r="250" spans="3:7" x14ac:dyDescent="0.25">
      <c r="C250">
        <v>241</v>
      </c>
      <c r="D250">
        <v>1</v>
      </c>
      <c r="E250">
        <v>1</v>
      </c>
      <c r="F250" s="8">
        <f t="shared" si="20"/>
        <v>0.24424203574782716</v>
      </c>
      <c r="G250" s="8">
        <f t="shared" si="21"/>
        <v>1</v>
      </c>
    </row>
    <row r="251" spans="3:7" x14ac:dyDescent="0.25">
      <c r="C251">
        <v>242</v>
      </c>
      <c r="D251">
        <v>1</v>
      </c>
      <c r="E251">
        <v>1</v>
      </c>
      <c r="F251" s="8">
        <f t="shared" si="20"/>
        <v>0.24424203574782716</v>
      </c>
      <c r="G251" s="8">
        <f t="shared" si="21"/>
        <v>1</v>
      </c>
    </row>
    <row r="252" spans="3:7" x14ac:dyDescent="0.25">
      <c r="C252">
        <v>243</v>
      </c>
      <c r="D252">
        <v>1</v>
      </c>
      <c r="E252">
        <v>2</v>
      </c>
      <c r="F252" s="8" t="str">
        <f t="shared" si="20"/>
        <v/>
      </c>
      <c r="G252" s="8" t="str">
        <f t="shared" si="21"/>
        <v/>
      </c>
    </row>
    <row r="253" spans="3:7" x14ac:dyDescent="0.25">
      <c r="C253">
        <v>244</v>
      </c>
      <c r="D253">
        <v>1</v>
      </c>
      <c r="E253">
        <v>1</v>
      </c>
      <c r="F253" s="8">
        <f t="shared" si="20"/>
        <v>0.24424203574782716</v>
      </c>
      <c r="G253" s="8">
        <f t="shared" si="21"/>
        <v>1</v>
      </c>
    </row>
    <row r="254" spans="3:7" x14ac:dyDescent="0.25">
      <c r="C254">
        <v>245</v>
      </c>
      <c r="D254">
        <v>1</v>
      </c>
      <c r="E254">
        <v>1</v>
      </c>
      <c r="F254" s="8">
        <f t="shared" si="20"/>
        <v>0.24424203574782716</v>
      </c>
      <c r="G254" s="8">
        <f t="shared" si="21"/>
        <v>1</v>
      </c>
    </row>
    <row r="255" spans="3:7" x14ac:dyDescent="0.25">
      <c r="C255">
        <v>246</v>
      </c>
      <c r="D255">
        <v>1</v>
      </c>
      <c r="E255">
        <v>1</v>
      </c>
      <c r="F255" s="8">
        <f t="shared" si="20"/>
        <v>0.24424203574782716</v>
      </c>
      <c r="G255" s="8">
        <f t="shared" si="21"/>
        <v>1</v>
      </c>
    </row>
    <row r="256" spans="3:7" x14ac:dyDescent="0.25">
      <c r="C256">
        <v>247</v>
      </c>
      <c r="D256">
        <v>2</v>
      </c>
      <c r="E256">
        <v>1</v>
      </c>
      <c r="F256" s="8">
        <f t="shared" si="20"/>
        <v>0.25582504733083894</v>
      </c>
      <c r="G256" s="8">
        <f t="shared" si="21"/>
        <v>2</v>
      </c>
    </row>
    <row r="257" spans="3:7" x14ac:dyDescent="0.25">
      <c r="C257">
        <v>248</v>
      </c>
      <c r="D257">
        <v>1</v>
      </c>
      <c r="E257">
        <v>2</v>
      </c>
      <c r="F257" s="8" t="str">
        <f t="shared" si="20"/>
        <v/>
      </c>
      <c r="G257" s="8" t="str">
        <f t="shared" si="21"/>
        <v/>
      </c>
    </row>
    <row r="258" spans="3:7" x14ac:dyDescent="0.25">
      <c r="C258">
        <v>249</v>
      </c>
      <c r="D258">
        <v>1</v>
      </c>
      <c r="E258">
        <v>1</v>
      </c>
      <c r="F258" s="8">
        <f t="shared" si="20"/>
        <v>0.24424203574782716</v>
      </c>
      <c r="G258" s="8">
        <f t="shared" si="21"/>
        <v>1</v>
      </c>
    </row>
    <row r="259" spans="3:7" x14ac:dyDescent="0.25">
      <c r="C259">
        <v>250</v>
      </c>
      <c r="D259">
        <v>1</v>
      </c>
      <c r="E259">
        <v>1</v>
      </c>
      <c r="F259" s="8">
        <f t="shared" si="20"/>
        <v>0.24424203574782716</v>
      </c>
      <c r="G259" s="8">
        <f t="shared" si="21"/>
        <v>1</v>
      </c>
    </row>
    <row r="260" spans="3:7" x14ac:dyDescent="0.25">
      <c r="C260">
        <v>251</v>
      </c>
      <c r="D260">
        <v>1</v>
      </c>
      <c r="E260">
        <v>1</v>
      </c>
      <c r="F260" s="8">
        <f t="shared" si="20"/>
        <v>0.24424203574782716</v>
      </c>
      <c r="G260" s="8">
        <f t="shared" si="21"/>
        <v>1</v>
      </c>
    </row>
    <row r="261" spans="3:7" x14ac:dyDescent="0.25">
      <c r="C261">
        <v>252</v>
      </c>
      <c r="D261">
        <v>1</v>
      </c>
      <c r="E261">
        <v>1</v>
      </c>
      <c r="F261" s="8">
        <f t="shared" si="20"/>
        <v>0.24424203574782716</v>
      </c>
      <c r="G261" s="8">
        <f t="shared" si="21"/>
        <v>1</v>
      </c>
    </row>
    <row r="262" spans="3:7" x14ac:dyDescent="0.25">
      <c r="C262">
        <v>253</v>
      </c>
      <c r="D262">
        <v>5</v>
      </c>
      <c r="E262">
        <v>1</v>
      </c>
      <c r="F262" s="8">
        <f t="shared" si="20"/>
        <v>12.290574082079875</v>
      </c>
      <c r="G262" s="8">
        <f t="shared" si="21"/>
        <v>5</v>
      </c>
    </row>
    <row r="263" spans="3:7" x14ac:dyDescent="0.25">
      <c r="C263">
        <v>254</v>
      </c>
      <c r="D263">
        <v>1</v>
      </c>
      <c r="E263">
        <v>1</v>
      </c>
      <c r="F263" s="8">
        <f t="shared" si="20"/>
        <v>0.24424203574782716</v>
      </c>
      <c r="G263" s="8">
        <f t="shared" si="21"/>
        <v>1</v>
      </c>
    </row>
    <row r="264" spans="3:7" x14ac:dyDescent="0.25">
      <c r="C264">
        <v>255</v>
      </c>
      <c r="D264">
        <v>1</v>
      </c>
      <c r="E264">
        <v>1</v>
      </c>
      <c r="F264" s="8">
        <f t="shared" si="20"/>
        <v>0.24424203574782716</v>
      </c>
      <c r="G264" s="8">
        <f t="shared" si="21"/>
        <v>1</v>
      </c>
    </row>
    <row r="265" spans="3:7" x14ac:dyDescent="0.25">
      <c r="C265">
        <v>256</v>
      </c>
      <c r="D265">
        <v>1</v>
      </c>
      <c r="E265">
        <v>1</v>
      </c>
      <c r="F265" s="8">
        <f t="shared" si="20"/>
        <v>0.24424203574782716</v>
      </c>
      <c r="G265" s="8">
        <f t="shared" si="21"/>
        <v>1</v>
      </c>
    </row>
    <row r="266" spans="3:7" x14ac:dyDescent="0.25">
      <c r="C266">
        <v>257</v>
      </c>
      <c r="D266">
        <v>2</v>
      </c>
      <c r="E266">
        <v>1</v>
      </c>
      <c r="F266" s="8">
        <f t="shared" ref="F266:F308" si="24">IF(E266=1,(D266-$D$2)*(D266-$D$2),"")</f>
        <v>0.25582504733083894</v>
      </c>
      <c r="G266" s="8">
        <f t="shared" ref="G266:G308" si="25">IF(E266=1,D266,"")</f>
        <v>2</v>
      </c>
    </row>
    <row r="267" spans="3:7" x14ac:dyDescent="0.25">
      <c r="C267">
        <v>258</v>
      </c>
      <c r="D267">
        <v>1</v>
      </c>
      <c r="E267">
        <v>1</v>
      </c>
      <c r="F267" s="8">
        <f t="shared" si="24"/>
        <v>0.24424203574782716</v>
      </c>
      <c r="G267" s="8">
        <f t="shared" si="25"/>
        <v>1</v>
      </c>
    </row>
    <row r="268" spans="3:7" x14ac:dyDescent="0.25">
      <c r="C268">
        <v>259</v>
      </c>
      <c r="D268">
        <v>1</v>
      </c>
      <c r="E268">
        <v>1</v>
      </c>
      <c r="F268" s="8">
        <f t="shared" si="24"/>
        <v>0.24424203574782716</v>
      </c>
      <c r="G268" s="8">
        <f t="shared" si="25"/>
        <v>1</v>
      </c>
    </row>
    <row r="269" spans="3:7" x14ac:dyDescent="0.25">
      <c r="C269">
        <v>260</v>
      </c>
      <c r="D269">
        <v>1</v>
      </c>
      <c r="E269">
        <v>1</v>
      </c>
      <c r="F269" s="8">
        <f t="shared" si="24"/>
        <v>0.24424203574782716</v>
      </c>
      <c r="G269" s="8">
        <f t="shared" si="25"/>
        <v>1</v>
      </c>
    </row>
    <row r="270" spans="3:7" x14ac:dyDescent="0.25">
      <c r="C270">
        <v>261</v>
      </c>
      <c r="D270">
        <v>1</v>
      </c>
      <c r="E270">
        <v>1</v>
      </c>
      <c r="F270" s="8">
        <f t="shared" si="24"/>
        <v>0.24424203574782716</v>
      </c>
      <c r="G270" s="8">
        <f t="shared" si="25"/>
        <v>1</v>
      </c>
    </row>
    <row r="271" spans="3:7" x14ac:dyDescent="0.25">
      <c r="C271">
        <v>262</v>
      </c>
      <c r="D271">
        <v>11</v>
      </c>
      <c r="E271">
        <v>1</v>
      </c>
      <c r="F271" s="8">
        <f t="shared" si="24"/>
        <v>90.360072151577967</v>
      </c>
      <c r="G271" s="8">
        <f t="shared" si="25"/>
        <v>11</v>
      </c>
    </row>
    <row r="272" spans="3:7" x14ac:dyDescent="0.25">
      <c r="C272">
        <v>263</v>
      </c>
      <c r="D272">
        <v>1</v>
      </c>
      <c r="E272">
        <v>1</v>
      </c>
      <c r="F272" s="8">
        <f t="shared" si="24"/>
        <v>0.24424203574782716</v>
      </c>
      <c r="G272" s="8">
        <f t="shared" si="25"/>
        <v>1</v>
      </c>
    </row>
    <row r="273" spans="3:7" x14ac:dyDescent="0.25">
      <c r="C273">
        <v>264</v>
      </c>
      <c r="D273">
        <v>3</v>
      </c>
      <c r="E273">
        <v>1</v>
      </c>
      <c r="F273" s="8">
        <f t="shared" si="24"/>
        <v>2.2674080589138508</v>
      </c>
      <c r="G273" s="8">
        <f t="shared" si="25"/>
        <v>3</v>
      </c>
    </row>
    <row r="274" spans="3:7" x14ac:dyDescent="0.25">
      <c r="C274">
        <v>265</v>
      </c>
      <c r="D274">
        <v>1</v>
      </c>
      <c r="E274">
        <v>1</v>
      </c>
      <c r="F274" s="8">
        <f t="shared" si="24"/>
        <v>0.24424203574782716</v>
      </c>
      <c r="G274" s="8">
        <f t="shared" si="25"/>
        <v>1</v>
      </c>
    </row>
    <row r="275" spans="3:7" x14ac:dyDescent="0.25">
      <c r="C275">
        <v>266</v>
      </c>
      <c r="D275">
        <v>1</v>
      </c>
      <c r="E275">
        <v>1</v>
      </c>
      <c r="F275" s="8">
        <f t="shared" si="24"/>
        <v>0.24424203574782716</v>
      </c>
      <c r="G275" s="8">
        <f t="shared" si="25"/>
        <v>1</v>
      </c>
    </row>
    <row r="276" spans="3:7" x14ac:dyDescent="0.25">
      <c r="C276">
        <v>267</v>
      </c>
      <c r="D276">
        <v>2</v>
      </c>
      <c r="E276">
        <v>1</v>
      </c>
      <c r="F276" s="8">
        <f t="shared" si="24"/>
        <v>0.25582504733083894</v>
      </c>
      <c r="G276" s="8">
        <f t="shared" si="25"/>
        <v>2</v>
      </c>
    </row>
    <row r="277" spans="3:7" x14ac:dyDescent="0.25">
      <c r="C277">
        <v>268</v>
      </c>
      <c r="D277">
        <v>1</v>
      </c>
      <c r="E277">
        <v>1</v>
      </c>
      <c r="F277" s="8">
        <f t="shared" si="24"/>
        <v>0.24424203574782716</v>
      </c>
      <c r="G277" s="8">
        <f t="shared" si="25"/>
        <v>1</v>
      </c>
    </row>
    <row r="278" spans="3:7" x14ac:dyDescent="0.25">
      <c r="C278">
        <v>269</v>
      </c>
      <c r="D278">
        <v>1</v>
      </c>
      <c r="E278">
        <v>1</v>
      </c>
      <c r="F278" s="8">
        <f t="shared" si="24"/>
        <v>0.24424203574782716</v>
      </c>
      <c r="G278" s="8">
        <f t="shared" si="25"/>
        <v>1</v>
      </c>
    </row>
    <row r="279" spans="3:7" x14ac:dyDescent="0.25">
      <c r="C279">
        <v>270</v>
      </c>
      <c r="D279">
        <v>1</v>
      </c>
      <c r="E279">
        <v>1</v>
      </c>
      <c r="F279" s="8">
        <f t="shared" si="24"/>
        <v>0.24424203574782716</v>
      </c>
      <c r="G279" s="8">
        <f t="shared" si="25"/>
        <v>1</v>
      </c>
    </row>
    <row r="280" spans="3:7" x14ac:dyDescent="0.25">
      <c r="C280">
        <v>271</v>
      </c>
      <c r="D280">
        <v>1</v>
      </c>
      <c r="E280">
        <v>1</v>
      </c>
      <c r="F280" s="8">
        <f t="shared" si="24"/>
        <v>0.24424203574782716</v>
      </c>
      <c r="G280" s="8">
        <f t="shared" si="25"/>
        <v>1</v>
      </c>
    </row>
    <row r="281" spans="3:7" x14ac:dyDescent="0.25">
      <c r="C281">
        <v>272</v>
      </c>
      <c r="D281">
        <v>1</v>
      </c>
      <c r="E281">
        <v>1</v>
      </c>
      <c r="F281" s="8">
        <f t="shared" si="24"/>
        <v>0.24424203574782716</v>
      </c>
      <c r="G281" s="8">
        <f t="shared" si="25"/>
        <v>1</v>
      </c>
    </row>
    <row r="282" spans="3:7" x14ac:dyDescent="0.25">
      <c r="C282">
        <v>273</v>
      </c>
      <c r="D282">
        <v>1</v>
      </c>
      <c r="E282">
        <v>2</v>
      </c>
      <c r="F282" s="8" t="str">
        <f t="shared" si="24"/>
        <v/>
      </c>
      <c r="G282" s="8" t="str">
        <f t="shared" si="25"/>
        <v/>
      </c>
    </row>
    <row r="283" spans="3:7" x14ac:dyDescent="0.25">
      <c r="C283">
        <v>274</v>
      </c>
      <c r="D283">
        <v>1</v>
      </c>
      <c r="E283">
        <v>1</v>
      </c>
      <c r="F283" s="8">
        <f t="shared" si="24"/>
        <v>0.24424203574782716</v>
      </c>
      <c r="G283" s="8">
        <f t="shared" si="25"/>
        <v>1</v>
      </c>
    </row>
    <row r="284" spans="3:7" x14ac:dyDescent="0.25">
      <c r="C284">
        <v>275</v>
      </c>
      <c r="D284">
        <v>1</v>
      </c>
      <c r="E284">
        <v>1</v>
      </c>
      <c r="F284" s="8">
        <f t="shared" si="24"/>
        <v>0.24424203574782716</v>
      </c>
      <c r="G284" s="8">
        <f t="shared" si="25"/>
        <v>1</v>
      </c>
    </row>
    <row r="285" spans="3:7" x14ac:dyDescent="0.25">
      <c r="C285">
        <v>276</v>
      </c>
      <c r="D285">
        <v>2</v>
      </c>
      <c r="E285">
        <v>1</v>
      </c>
      <c r="F285" s="8">
        <f t="shared" si="24"/>
        <v>0.25582504733083894</v>
      </c>
      <c r="G285" s="8">
        <f t="shared" si="25"/>
        <v>2</v>
      </c>
    </row>
    <row r="286" spans="3:7" x14ac:dyDescent="0.25">
      <c r="C286">
        <v>277</v>
      </c>
      <c r="D286">
        <v>1</v>
      </c>
      <c r="E286">
        <v>1</v>
      </c>
      <c r="F286" s="8">
        <f t="shared" si="24"/>
        <v>0.24424203574782716</v>
      </c>
      <c r="G286" s="8">
        <f t="shared" si="25"/>
        <v>1</v>
      </c>
    </row>
    <row r="287" spans="3:7" x14ac:dyDescent="0.25">
      <c r="C287">
        <v>278</v>
      </c>
      <c r="D287">
        <v>1</v>
      </c>
      <c r="E287">
        <v>4</v>
      </c>
      <c r="F287" s="8" t="str">
        <f t="shared" si="24"/>
        <v/>
      </c>
      <c r="G287" s="8" t="str">
        <f t="shared" si="25"/>
        <v/>
      </c>
    </row>
    <row r="288" spans="3:7" x14ac:dyDescent="0.25">
      <c r="C288">
        <v>279</v>
      </c>
      <c r="D288">
        <v>1</v>
      </c>
      <c r="E288">
        <v>2</v>
      </c>
      <c r="F288" s="8" t="str">
        <f t="shared" si="24"/>
        <v/>
      </c>
      <c r="G288" s="8" t="str">
        <f t="shared" si="25"/>
        <v/>
      </c>
    </row>
    <row r="289" spans="3:7" x14ac:dyDescent="0.25">
      <c r="C289">
        <v>280</v>
      </c>
      <c r="D289">
        <v>1</v>
      </c>
      <c r="E289">
        <v>2</v>
      </c>
      <c r="F289" s="8" t="str">
        <f t="shared" si="24"/>
        <v/>
      </c>
      <c r="G289" s="8" t="str">
        <f t="shared" si="25"/>
        <v/>
      </c>
    </row>
    <row r="290" spans="3:7" x14ac:dyDescent="0.25">
      <c r="C290">
        <v>281</v>
      </c>
      <c r="D290">
        <v>1</v>
      </c>
      <c r="E290">
        <v>2</v>
      </c>
      <c r="F290" s="8" t="str">
        <f t="shared" si="24"/>
        <v/>
      </c>
      <c r="G290" s="8" t="str">
        <f t="shared" si="25"/>
        <v/>
      </c>
    </row>
    <row r="291" spans="3:7" x14ac:dyDescent="0.25">
      <c r="C291">
        <v>282</v>
      </c>
      <c r="D291">
        <v>2</v>
      </c>
      <c r="E291">
        <v>1</v>
      </c>
      <c r="F291" s="8">
        <f t="shared" si="24"/>
        <v>0.25582504733083894</v>
      </c>
      <c r="G291" s="8">
        <f t="shared" si="25"/>
        <v>2</v>
      </c>
    </row>
    <row r="292" spans="3:7" x14ac:dyDescent="0.25">
      <c r="C292">
        <v>283</v>
      </c>
      <c r="D292">
        <v>1</v>
      </c>
      <c r="E292">
        <v>1</v>
      </c>
      <c r="F292" s="8">
        <f t="shared" si="24"/>
        <v>0.24424203574782716</v>
      </c>
      <c r="G292" s="8">
        <f t="shared" si="25"/>
        <v>1</v>
      </c>
    </row>
    <row r="293" spans="3:7" x14ac:dyDescent="0.25">
      <c r="C293">
        <v>284</v>
      </c>
      <c r="D293">
        <v>1</v>
      </c>
      <c r="E293">
        <v>1</v>
      </c>
      <c r="F293" s="8">
        <f t="shared" si="24"/>
        <v>0.24424203574782716</v>
      </c>
      <c r="G293" s="8">
        <f t="shared" si="25"/>
        <v>1</v>
      </c>
    </row>
    <row r="294" spans="3:7" x14ac:dyDescent="0.25">
      <c r="C294">
        <v>285</v>
      </c>
      <c r="D294">
        <v>1</v>
      </c>
      <c r="E294">
        <v>1</v>
      </c>
      <c r="F294" s="8">
        <f t="shared" si="24"/>
        <v>0.24424203574782716</v>
      </c>
      <c r="G294" s="8">
        <f t="shared" si="25"/>
        <v>1</v>
      </c>
    </row>
    <row r="295" spans="3:7" x14ac:dyDescent="0.25">
      <c r="C295">
        <v>286</v>
      </c>
      <c r="D295">
        <v>1</v>
      </c>
      <c r="E295">
        <v>1</v>
      </c>
      <c r="F295" s="8">
        <f t="shared" si="24"/>
        <v>0.24424203574782716</v>
      </c>
      <c r="G295" s="8">
        <f t="shared" si="25"/>
        <v>1</v>
      </c>
    </row>
    <row r="296" spans="3:7" x14ac:dyDescent="0.25">
      <c r="C296">
        <v>287</v>
      </c>
      <c r="D296">
        <v>1</v>
      </c>
      <c r="E296">
        <v>1</v>
      </c>
      <c r="F296" s="8">
        <f t="shared" si="24"/>
        <v>0.24424203574782716</v>
      </c>
      <c r="G296" s="8">
        <f t="shared" si="25"/>
        <v>1</v>
      </c>
    </row>
    <row r="297" spans="3:7" x14ac:dyDescent="0.25">
      <c r="C297">
        <v>288</v>
      </c>
      <c r="D297">
        <v>1</v>
      </c>
      <c r="E297">
        <v>1</v>
      </c>
      <c r="F297" s="8">
        <f t="shared" si="24"/>
        <v>0.24424203574782716</v>
      </c>
      <c r="G297" s="8">
        <f t="shared" si="25"/>
        <v>1</v>
      </c>
    </row>
    <row r="298" spans="3:7" x14ac:dyDescent="0.25">
      <c r="C298">
        <v>289</v>
      </c>
      <c r="D298">
        <v>2</v>
      </c>
      <c r="E298">
        <v>1</v>
      </c>
      <c r="F298" s="8">
        <f t="shared" si="24"/>
        <v>0.25582504733083894</v>
      </c>
      <c r="G298" s="8">
        <f t="shared" si="25"/>
        <v>2</v>
      </c>
    </row>
    <row r="299" spans="3:7" x14ac:dyDescent="0.25">
      <c r="C299">
        <v>290</v>
      </c>
      <c r="D299">
        <v>1</v>
      </c>
      <c r="E299">
        <v>1</v>
      </c>
      <c r="F299" s="8">
        <f t="shared" si="24"/>
        <v>0.24424203574782716</v>
      </c>
      <c r="G299" s="8">
        <f t="shared" si="25"/>
        <v>1</v>
      </c>
    </row>
    <row r="300" spans="3:7" x14ac:dyDescent="0.25">
      <c r="C300">
        <v>291</v>
      </c>
      <c r="D300">
        <v>1</v>
      </c>
      <c r="E300">
        <v>1</v>
      </c>
      <c r="F300" s="8">
        <f t="shared" si="24"/>
        <v>0.24424203574782716</v>
      </c>
      <c r="G300" s="8">
        <f t="shared" si="25"/>
        <v>1</v>
      </c>
    </row>
    <row r="301" spans="3:7" x14ac:dyDescent="0.25">
      <c r="C301">
        <v>292</v>
      </c>
      <c r="D301">
        <v>1</v>
      </c>
      <c r="E301">
        <v>1</v>
      </c>
      <c r="F301" s="8">
        <f t="shared" si="24"/>
        <v>0.24424203574782716</v>
      </c>
      <c r="G301" s="8">
        <f t="shared" si="25"/>
        <v>1</v>
      </c>
    </row>
    <row r="302" spans="3:7" x14ac:dyDescent="0.25">
      <c r="C302">
        <v>293</v>
      </c>
      <c r="D302">
        <v>1</v>
      </c>
      <c r="E302">
        <v>2</v>
      </c>
      <c r="F302" s="8" t="str">
        <f t="shared" si="24"/>
        <v/>
      </c>
      <c r="G302" s="8" t="str">
        <f t="shared" si="25"/>
        <v/>
      </c>
    </row>
    <row r="303" spans="3:7" x14ac:dyDescent="0.25">
      <c r="C303">
        <v>294</v>
      </c>
      <c r="D303">
        <v>1</v>
      </c>
      <c r="E303">
        <v>2</v>
      </c>
      <c r="F303" s="8" t="str">
        <f t="shared" si="24"/>
        <v/>
      </c>
      <c r="G303" s="8" t="str">
        <f t="shared" si="25"/>
        <v/>
      </c>
    </row>
    <row r="304" spans="3:7" x14ac:dyDescent="0.25">
      <c r="C304">
        <v>295</v>
      </c>
      <c r="D304">
        <v>1</v>
      </c>
      <c r="E304">
        <v>1</v>
      </c>
      <c r="F304" s="8">
        <f t="shared" si="24"/>
        <v>0.24424203574782716</v>
      </c>
      <c r="G304" s="8">
        <f t="shared" si="25"/>
        <v>1</v>
      </c>
    </row>
    <row r="305" spans="3:7" x14ac:dyDescent="0.25">
      <c r="C305">
        <v>296</v>
      </c>
      <c r="D305">
        <v>4</v>
      </c>
      <c r="E305">
        <v>1</v>
      </c>
      <c r="F305" s="8">
        <f t="shared" si="24"/>
        <v>6.2789910704968621</v>
      </c>
      <c r="G305" s="8">
        <f t="shared" si="25"/>
        <v>4</v>
      </c>
    </row>
    <row r="306" spans="3:7" x14ac:dyDescent="0.25">
      <c r="C306">
        <v>297</v>
      </c>
      <c r="D306">
        <v>1</v>
      </c>
      <c r="E306">
        <v>1</v>
      </c>
      <c r="F306" s="8">
        <f t="shared" si="24"/>
        <v>0.24424203574782716</v>
      </c>
      <c r="G306" s="8">
        <f t="shared" si="25"/>
        <v>1</v>
      </c>
    </row>
    <row r="307" spans="3:7" x14ac:dyDescent="0.25">
      <c r="C307">
        <v>298</v>
      </c>
      <c r="D307">
        <v>1</v>
      </c>
      <c r="E307">
        <v>1</v>
      </c>
      <c r="F307" s="8">
        <f t="shared" si="24"/>
        <v>0.24424203574782716</v>
      </c>
      <c r="G307" s="8">
        <f t="shared" si="25"/>
        <v>1</v>
      </c>
    </row>
    <row r="308" spans="3:7" x14ac:dyDescent="0.25">
      <c r="C308">
        <v>299</v>
      </c>
      <c r="D308">
        <v>1</v>
      </c>
      <c r="E308">
        <v>1</v>
      </c>
      <c r="F308" s="8">
        <f t="shared" si="24"/>
        <v>0.24424203574782716</v>
      </c>
      <c r="G308" s="8">
        <f t="shared" si="25"/>
        <v>1</v>
      </c>
    </row>
  </sheetData>
  <mergeCells count="6">
    <mergeCell ref="AA7:AC7"/>
    <mergeCell ref="A8:B9"/>
    <mergeCell ref="C7:E7"/>
    <mergeCell ref="I7:K7"/>
    <mergeCell ref="O7:Q7"/>
    <mergeCell ref="U7:W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1A81D-EFA3-4EEA-B9DB-889A59173098}">
  <dimension ref="A2:AT312"/>
  <sheetViews>
    <sheetView zoomScaleNormal="100" workbookViewId="0">
      <selection activeCell="N1" sqref="N1:N1048576"/>
    </sheetView>
  </sheetViews>
  <sheetFormatPr defaultColWidth="9.140625" defaultRowHeight="15" x14ac:dyDescent="0.25"/>
  <cols>
    <col min="3" max="3" width="10.85546875" bestFit="1" customWidth="1"/>
    <col min="4" max="4" width="12" bestFit="1" customWidth="1"/>
    <col min="5" max="5" width="11" customWidth="1"/>
    <col min="6" max="6" width="12" bestFit="1" customWidth="1"/>
    <col min="7" max="7" width="9.42578125" customWidth="1"/>
    <col min="8" max="8" width="7.85546875" customWidth="1"/>
    <col min="9" max="12" width="5.5703125" customWidth="1"/>
    <col min="13" max="13" width="15.140625" customWidth="1"/>
    <col min="14" max="14" width="8.42578125" customWidth="1"/>
    <col min="15" max="15" width="13.42578125" customWidth="1"/>
    <col min="16" max="16" width="8.28515625" customWidth="1"/>
    <col min="17" max="17" width="7.85546875" customWidth="1"/>
    <col min="18" max="20" width="5.5703125" customWidth="1"/>
    <col min="21" max="21" width="9" customWidth="1"/>
    <col min="22" max="22" width="15.7109375" customWidth="1"/>
    <col min="23" max="23" width="12" customWidth="1"/>
    <col min="24" max="24" width="5.5703125" hidden="1" customWidth="1"/>
    <col min="25" max="25" width="7.140625" customWidth="1"/>
    <col min="26" max="26" width="8.85546875" customWidth="1"/>
    <col min="27" max="30" width="5.5703125" customWidth="1"/>
    <col min="31" max="31" width="7.140625" bestFit="1" customWidth="1"/>
    <col min="32" max="32" width="5.5703125" customWidth="1"/>
    <col min="33" max="34" width="5.5703125" hidden="1" customWidth="1"/>
    <col min="35" max="39" width="5.5703125" customWidth="1"/>
    <col min="40" max="40" width="6.140625" bestFit="1" customWidth="1"/>
    <col min="41" max="41" width="5.5703125" customWidth="1"/>
    <col min="42" max="43" width="9.140625" hidden="1" customWidth="1"/>
    <col min="45" max="45" width="5.5703125" customWidth="1"/>
    <col min="46" max="46" width="6" customWidth="1"/>
  </cols>
  <sheetData>
    <row r="2" spans="1:46" x14ac:dyDescent="0.25">
      <c r="C2" t="s">
        <v>11</v>
      </c>
      <c r="D2" s="10">
        <f>SUMIF(E13:E312,1,D13:D312)/COUNTIF(E13:E312,1)</f>
        <v>1.4883720930232558</v>
      </c>
      <c r="M2" s="11">
        <f>SUMIF(N13:N247,2,M13:M247)/COUNTIF(N13:N247,2)</f>
        <v>40.518181818181816</v>
      </c>
      <c r="V2" s="11">
        <f>SUMIF(W13:W160,3,V13:V160)/COUNTIF(W13:W160,3)</f>
        <v>42.149425287356323</v>
      </c>
      <c r="AE2" s="11">
        <f>SUMIF(AF13:AF76,4,AE13:AE76)/COUNTIF(AF13:AF76,4)</f>
        <v>31.25</v>
      </c>
      <c r="AN2" s="11">
        <f>SUMIF(AO13:AO54,5,AN13:AN54)/COUNTIF(AO13:AO54,5)</f>
        <v>26.5</v>
      </c>
    </row>
    <row r="3" spans="1:46" x14ac:dyDescent="0.25">
      <c r="C3" t="s">
        <v>12</v>
      </c>
      <c r="D3" s="10">
        <f>SUM(F13:F312)/COUNT(F13:F312)</f>
        <v>1.9242833964305202</v>
      </c>
      <c r="M3" s="10">
        <f>SUM(O13:O247)/COUNT(O13:O247)</f>
        <v>4284.5393529672092</v>
      </c>
      <c r="V3" s="10">
        <f>SUM(X13:X160)/COUNT(X13:X160)</f>
        <v>3035.402367231743</v>
      </c>
      <c r="AE3" s="10">
        <f>SUM(AG13:AG76)/COUNT(AG13:AG76)</f>
        <v>1607.5253290066696</v>
      </c>
      <c r="AN3" s="10">
        <f>SUM(AP13:AP54)/COUNT(AP13:AP54)</f>
        <v>1147.5458162713435</v>
      </c>
    </row>
    <row r="4" spans="1:46" x14ac:dyDescent="0.25">
      <c r="C4" t="s">
        <v>13</v>
      </c>
      <c r="D4">
        <f>MEDIAN(G13:G312)</f>
        <v>1</v>
      </c>
      <c r="M4">
        <f>MEDIAN(P13:P247)</f>
        <v>26.5</v>
      </c>
      <c r="V4">
        <f>MEDIAN(Y13:Y160)</f>
        <v>29</v>
      </c>
      <c r="AE4">
        <f>MEDIAN(AH13:AH76)</f>
        <v>23.5</v>
      </c>
      <c r="AN4">
        <f>MEDIAN(AQ13:AQ54)</f>
        <v>17.5</v>
      </c>
    </row>
    <row r="5" spans="1:46" x14ac:dyDescent="0.25">
      <c r="C5" t="s">
        <v>21</v>
      </c>
      <c r="D5">
        <f>COUNTIF(E13:E312,1)</f>
        <v>258</v>
      </c>
      <c r="M5">
        <f>COUNTIF(N13:N247,2)</f>
        <v>110</v>
      </c>
      <c r="V5">
        <f>COUNTIF(W13:W160,3)</f>
        <v>87</v>
      </c>
      <c r="AE5">
        <f>COUNTIF(AF13:AF76,4)</f>
        <v>24</v>
      </c>
      <c r="AN5">
        <f>COUNTIF(AO13:AO54,5)</f>
        <v>42</v>
      </c>
    </row>
    <row r="6" spans="1:46" x14ac:dyDescent="0.25">
      <c r="C6" t="s">
        <v>30</v>
      </c>
      <c r="D6">
        <f>COUNT(I13:I312)</f>
        <v>179</v>
      </c>
      <c r="E6" s="27">
        <f>D6/D5</f>
        <v>0.69379844961240311</v>
      </c>
      <c r="M6">
        <f>COUNT(R13:R247)</f>
        <v>77</v>
      </c>
      <c r="N6" s="27">
        <f>M6/M5</f>
        <v>0.7</v>
      </c>
      <c r="V6">
        <f>COUNT(AA13:AA160)</f>
        <v>60</v>
      </c>
      <c r="W6" s="27">
        <f>V6/V5</f>
        <v>0.68965517241379315</v>
      </c>
      <c r="AE6">
        <f>COUNT(AJ13:AJ76)</f>
        <v>20</v>
      </c>
      <c r="AF6" s="27">
        <f>AE6/AE5</f>
        <v>0.83333333333333337</v>
      </c>
      <c r="AN6">
        <f>COUNT(AS13:AS54)</f>
        <v>29</v>
      </c>
      <c r="AO6" s="27">
        <f>AN6/AN5</f>
        <v>0.69047619047619047</v>
      </c>
    </row>
    <row r="7" spans="1:46" x14ac:dyDescent="0.25">
      <c r="C7" t="s">
        <v>31</v>
      </c>
      <c r="D7">
        <f>D5-D6</f>
        <v>79</v>
      </c>
      <c r="E7" s="27">
        <f>D7/D5</f>
        <v>0.30620155038759689</v>
      </c>
      <c r="M7">
        <f>M5-M6</f>
        <v>33</v>
      </c>
      <c r="N7" s="27">
        <f>M7/M5</f>
        <v>0.3</v>
      </c>
      <c r="V7">
        <f>V5-V6</f>
        <v>27</v>
      </c>
      <c r="W7" s="27">
        <f>V7/V5</f>
        <v>0.31034482758620691</v>
      </c>
      <c r="AE7">
        <f>AE5-AE6</f>
        <v>4</v>
      </c>
      <c r="AF7" s="27">
        <f>AE7/AE5</f>
        <v>0.16666666666666666</v>
      </c>
      <c r="AN7">
        <f>AN5-AN6</f>
        <v>13</v>
      </c>
      <c r="AO7" s="27">
        <f>AN7/AN5</f>
        <v>0.30952380952380953</v>
      </c>
    </row>
    <row r="8" spans="1:46" x14ac:dyDescent="0.25">
      <c r="C8" t="s">
        <v>32</v>
      </c>
      <c r="D8">
        <f>SUMIF(I13:I312,1,D13:D312)/D6</f>
        <v>1.6089385474860336</v>
      </c>
      <c r="M8">
        <f>SUMIF(R13:R247,2,M13:M247)/M6</f>
        <v>44.38961038961039</v>
      </c>
      <c r="V8">
        <f>SUMIF(AA13:AA160,3,V13:V160)/V6</f>
        <v>46.483333333333334</v>
      </c>
      <c r="AE8">
        <f>SUMIF(AJ13:AJ76,4,AE13:AE76)/AE6</f>
        <v>31.8</v>
      </c>
      <c r="AN8">
        <f>SUMIF(AS13:AS54,5,AN13:AN54)/AN6</f>
        <v>30.068965517241381</v>
      </c>
    </row>
    <row r="9" spans="1:46" x14ac:dyDescent="0.25">
      <c r="C9" t="s">
        <v>35</v>
      </c>
      <c r="D9">
        <f>SUMIF(J13:J312,1,D13:D312)/D7</f>
        <v>1.2151898734177216</v>
      </c>
      <c r="M9">
        <f>SUMIF(S13:S247,2,M13:M247)/M7</f>
        <v>31.484848484848484</v>
      </c>
      <c r="V9">
        <f>SUMIF(AB13:AB160,3,V13:V160)/V7</f>
        <v>32.518518518518519</v>
      </c>
      <c r="AE9">
        <f>SUMIF(AK13:AK76,4,AE13:AE76)/AE7</f>
        <v>28.5</v>
      </c>
      <c r="AN9">
        <f>SUMIF(AT13:AT54,5,AN13:AN54)/AN7</f>
        <v>18.53846153846154</v>
      </c>
    </row>
    <row r="11" spans="1:46" x14ac:dyDescent="0.25">
      <c r="C11" s="48" t="s">
        <v>4</v>
      </c>
      <c r="D11" s="48"/>
      <c r="E11" s="48"/>
      <c r="F11" s="4"/>
      <c r="G11" s="4"/>
      <c r="H11" s="4"/>
      <c r="I11" s="4"/>
      <c r="J11" s="4"/>
      <c r="L11" s="48" t="s">
        <v>5</v>
      </c>
      <c r="M11" s="48"/>
      <c r="N11" s="48"/>
      <c r="O11" s="4"/>
      <c r="P11" s="4"/>
      <c r="Q11" s="4"/>
      <c r="R11" s="4"/>
      <c r="S11" s="4"/>
      <c r="U11" s="48" t="s">
        <v>6</v>
      </c>
      <c r="V11" s="48"/>
      <c r="W11" s="48"/>
      <c r="X11" s="4"/>
      <c r="Y11" s="4"/>
      <c r="Z11" s="4"/>
      <c r="AA11" s="4"/>
      <c r="AB11" s="4"/>
      <c r="AD11" s="48" t="s">
        <v>8</v>
      </c>
      <c r="AE11" s="48"/>
      <c r="AF11" s="48"/>
      <c r="AG11" s="4"/>
      <c r="AH11" s="4"/>
      <c r="AI11" s="4"/>
      <c r="AJ11" s="4"/>
      <c r="AM11" s="48" t="s">
        <v>7</v>
      </c>
      <c r="AN11" s="48"/>
      <c r="AO11" s="48"/>
    </row>
    <row r="12" spans="1:46" s="12" customFormat="1" ht="60" x14ac:dyDescent="0.25">
      <c r="A12" s="46" t="s">
        <v>19</v>
      </c>
      <c r="B12" s="47"/>
      <c r="C12" s="12" t="s">
        <v>1</v>
      </c>
      <c r="D12" s="12" t="s">
        <v>3</v>
      </c>
      <c r="E12" s="12" t="s">
        <v>2</v>
      </c>
      <c r="F12" s="12" t="s">
        <v>12</v>
      </c>
      <c r="G12" s="12" t="s">
        <v>13</v>
      </c>
      <c r="H12" s="12" t="s">
        <v>27</v>
      </c>
      <c r="I12" s="12" t="s">
        <v>28</v>
      </c>
      <c r="J12" s="12" t="s">
        <v>29</v>
      </c>
      <c r="L12" s="12" t="s">
        <v>1</v>
      </c>
      <c r="M12" s="12" t="s">
        <v>3</v>
      </c>
      <c r="N12" s="12" t="s">
        <v>2</v>
      </c>
      <c r="O12" s="12" t="s">
        <v>12</v>
      </c>
      <c r="P12" s="12" t="s">
        <v>13</v>
      </c>
      <c r="Q12" s="12" t="s">
        <v>27</v>
      </c>
      <c r="R12" s="12" t="s">
        <v>28</v>
      </c>
      <c r="S12" s="12" t="s">
        <v>29</v>
      </c>
      <c r="U12" s="12" t="s">
        <v>1</v>
      </c>
      <c r="V12" s="12" t="s">
        <v>3</v>
      </c>
      <c r="W12" s="12" t="s">
        <v>2</v>
      </c>
      <c r="X12" s="12" t="s">
        <v>12</v>
      </c>
      <c r="Y12" s="12" t="s">
        <v>13</v>
      </c>
      <c r="Z12" s="12" t="s">
        <v>27</v>
      </c>
      <c r="AA12" s="12" t="s">
        <v>28</v>
      </c>
      <c r="AB12" s="12" t="s">
        <v>29</v>
      </c>
      <c r="AD12" s="12" t="s">
        <v>1</v>
      </c>
      <c r="AE12" s="12" t="s">
        <v>3</v>
      </c>
      <c r="AF12" s="12" t="s">
        <v>2</v>
      </c>
      <c r="AG12" s="12" t="s">
        <v>12</v>
      </c>
      <c r="AH12" s="12" t="s">
        <v>13</v>
      </c>
      <c r="AI12" s="12" t="s">
        <v>27</v>
      </c>
      <c r="AJ12" s="12" t="s">
        <v>28</v>
      </c>
      <c r="AK12" s="12" t="s">
        <v>29</v>
      </c>
      <c r="AM12" s="12" t="s">
        <v>1</v>
      </c>
      <c r="AN12" s="12" t="s">
        <v>3</v>
      </c>
      <c r="AO12" s="12" t="s">
        <v>2</v>
      </c>
      <c r="AP12" s="12" t="s">
        <v>12</v>
      </c>
      <c r="AQ12" s="12" t="s">
        <v>13</v>
      </c>
      <c r="AR12" s="12" t="s">
        <v>27</v>
      </c>
      <c r="AS12" s="12" t="s">
        <v>28</v>
      </c>
      <c r="AT12" s="12" t="s">
        <v>29</v>
      </c>
    </row>
    <row r="13" spans="1:46" x14ac:dyDescent="0.25">
      <c r="A13" s="47"/>
      <c r="B13" s="47"/>
      <c r="C13" s="8">
        <v>0</v>
      </c>
      <c r="D13" s="8">
        <v>1</v>
      </c>
      <c r="E13" s="8">
        <v>1</v>
      </c>
      <c r="F13" s="8">
        <f>IF(E13=1,(D13-$D$2)*(D13-$D$2),"")</f>
        <v>0.23850730124391561</v>
      </c>
      <c r="G13" s="8">
        <f>IF(E13=1,D13,"")</f>
        <v>1</v>
      </c>
      <c r="H13" s="8" t="str">
        <f>VLOOKUP(C13,Gender!$C$3:$D$454,2,FALSE)</f>
        <v>M</v>
      </c>
      <c r="I13" s="8">
        <f>IF(AND(E13=1,H13="M"),1,"")</f>
        <v>1</v>
      </c>
      <c r="J13" s="8" t="str">
        <f>IF(AND(E13=1,H13="F"),1,"")</f>
        <v/>
      </c>
      <c r="L13" s="9">
        <v>0</v>
      </c>
      <c r="M13" s="9">
        <v>59</v>
      </c>
      <c r="N13" s="9">
        <v>4</v>
      </c>
      <c r="O13" s="8" t="str">
        <f>IF(N13=2,(M13-$D$2)*(M13-$D$2),"")</f>
        <v/>
      </c>
      <c r="P13" s="8" t="str">
        <f>IF(N13=2,M13,"")</f>
        <v/>
      </c>
      <c r="Q13" s="8" t="str">
        <f>VLOOKUP(L13,Gender!$C$3:$D$454,2,FALSE)</f>
        <v>M</v>
      </c>
      <c r="R13" s="8" t="str">
        <f>IF(AND(N13=2,Q13="M"),2,"")</f>
        <v/>
      </c>
      <c r="S13" s="8" t="str">
        <f>IF(AND(N13=2,Q13="F"),2,"")</f>
        <v/>
      </c>
      <c r="U13" s="9">
        <v>0</v>
      </c>
      <c r="V13" s="9">
        <v>59</v>
      </c>
      <c r="W13" s="9">
        <v>4</v>
      </c>
      <c r="X13" s="8" t="str">
        <f>IF(W13=3,(V13-$D$2)*(V13-$D$2),"")</f>
        <v/>
      </c>
      <c r="Y13" s="8" t="str">
        <f>IF(W13=3,V13,"")</f>
        <v/>
      </c>
      <c r="Z13" s="8" t="str">
        <f>VLOOKUP(U13,Gender!$C$3:$D$454,2,FALSE)</f>
        <v>M</v>
      </c>
      <c r="AA13" s="8" t="str">
        <f>IF(AND(W13=3,Z13="M"),3,"")</f>
        <v/>
      </c>
      <c r="AB13" s="8" t="str">
        <f>IF(AND(W13=3,Z13="F"),3,"")</f>
        <v/>
      </c>
      <c r="AD13" s="9">
        <v>0</v>
      </c>
      <c r="AE13" s="9">
        <v>59</v>
      </c>
      <c r="AF13" s="9">
        <v>4</v>
      </c>
      <c r="AG13" s="8">
        <f>IF(AF13=4,(AE13-$D$2)*(AE13-$D$2),"")</f>
        <v>3307.5873445105458</v>
      </c>
      <c r="AH13" s="8">
        <f>IF(AF13=4,AE13,"")</f>
        <v>59</v>
      </c>
      <c r="AI13" s="8" t="str">
        <f>VLOOKUP(AD13,Gender!$C$3:$D$454,2,FALSE)</f>
        <v>M</v>
      </c>
      <c r="AJ13" s="8">
        <f>IF(AND(AF13=4,AI13="M"),4,"")</f>
        <v>4</v>
      </c>
      <c r="AK13" s="8" t="str">
        <f>IF(AND(AF13=4,AI13="F"),4,"")</f>
        <v/>
      </c>
      <c r="AM13" s="9">
        <v>5</v>
      </c>
      <c r="AN13" s="9">
        <v>35</v>
      </c>
      <c r="AO13" s="9">
        <v>5</v>
      </c>
      <c r="AP13" s="8">
        <f>IF(AO13=5,(AN13-$D$2)*(AN13-$D$2),"")</f>
        <v>1123.0292049756624</v>
      </c>
      <c r="AQ13" s="8">
        <f>IF(AO13=5,AN13,"")</f>
        <v>35</v>
      </c>
      <c r="AR13" s="8" t="str">
        <f>VLOOKUP(AM13,Gender!$C$3:$D$454,2,FALSE)</f>
        <v>M</v>
      </c>
      <c r="AS13" s="8">
        <f>IF(AND(AO13=5,AR13="M"),5,"")</f>
        <v>5</v>
      </c>
      <c r="AT13" s="8" t="str">
        <f>IF(AND(AO13=5,AR13="F"),5,"")</f>
        <v/>
      </c>
    </row>
    <row r="14" spans="1:46" x14ac:dyDescent="0.25">
      <c r="C14" s="8">
        <v>1</v>
      </c>
      <c r="D14" s="8">
        <v>1</v>
      </c>
      <c r="E14" s="8">
        <v>2</v>
      </c>
      <c r="F14" s="8" t="str">
        <f t="shared" ref="F14:F77" si="0">IF(E14=1,(D14-$D$2)*(D14-$D$2),"")</f>
        <v/>
      </c>
      <c r="G14" s="8" t="str">
        <f t="shared" ref="G14:G42" si="1">IF(E14=1,D14,"")</f>
        <v/>
      </c>
      <c r="H14" s="8" t="str">
        <f>VLOOKUP(C14,Gender!$C$3:$D$454,2,FALSE)</f>
        <v>F</v>
      </c>
      <c r="I14" s="8" t="str">
        <f t="shared" ref="I14:I77" si="2">IF(AND(E14=1,H14="M"),1,"")</f>
        <v/>
      </c>
      <c r="J14" s="8" t="str">
        <f t="shared" ref="J14:J77" si="3">IF(AND(E14=1,H14="F"),1,"")</f>
        <v/>
      </c>
      <c r="L14" s="9">
        <v>1</v>
      </c>
      <c r="M14" s="9">
        <v>1</v>
      </c>
      <c r="N14" s="9">
        <v>2</v>
      </c>
      <c r="O14" s="8">
        <f t="shared" ref="O14:O77" si="4">IF(N14=2,(M14-$D$2)*(M14-$D$2),"")</f>
        <v>0.23850730124391561</v>
      </c>
      <c r="P14" s="8">
        <f t="shared" ref="P14:P77" si="5">IF(N14=2,M14,"")</f>
        <v>1</v>
      </c>
      <c r="Q14" s="8" t="str">
        <f>VLOOKUP(L14,Gender!$C$3:$D$454,2,FALSE)</f>
        <v>F</v>
      </c>
      <c r="R14" s="8" t="str">
        <f t="shared" ref="R14:R77" si="6">IF(AND(N14=2,Q14="M"),2,"")</f>
        <v/>
      </c>
      <c r="S14" s="8">
        <f t="shared" ref="S14:S77" si="7">IF(AND(N14=2,Q14="F"),2,"")</f>
        <v>2</v>
      </c>
      <c r="U14" s="9">
        <v>5</v>
      </c>
      <c r="V14" s="9">
        <v>35</v>
      </c>
      <c r="W14" s="9">
        <v>5</v>
      </c>
      <c r="X14" s="8" t="str">
        <f t="shared" ref="X14:X77" si="8">IF(W14=3,(V14-$D$2)*(V14-$D$2),"")</f>
        <v/>
      </c>
      <c r="Y14" s="8" t="str">
        <f t="shared" ref="Y14:Y77" si="9">IF(W14=3,V14,"")</f>
        <v/>
      </c>
      <c r="Z14" s="8" t="str">
        <f>VLOOKUP(U14,Gender!$C$3:$D$454,2,FALSE)</f>
        <v>M</v>
      </c>
      <c r="AA14" s="8" t="str">
        <f t="shared" ref="AA14:AA77" si="10">IF(AND(W14=3,Z14="M"),3,"")</f>
        <v/>
      </c>
      <c r="AB14" s="8" t="str">
        <f t="shared" ref="AB14:AB77" si="11">IF(AND(W14=3,Z14="F"),3,"")</f>
        <v/>
      </c>
      <c r="AD14" s="9">
        <v>5</v>
      </c>
      <c r="AE14" s="9">
        <v>35</v>
      </c>
      <c r="AF14" s="9">
        <v>5</v>
      </c>
      <c r="AG14" s="8" t="str">
        <f t="shared" ref="AG14:AG76" si="12">IF(AF14=4,(AE14-$D$2)*(AE14-$D$2),"")</f>
        <v/>
      </c>
      <c r="AH14" s="8" t="str">
        <f t="shared" ref="AH14:AH76" si="13">IF(AF14=4,AE14,"")</f>
        <v/>
      </c>
      <c r="AI14" s="8" t="str">
        <f>VLOOKUP(AD14,Gender!$C$3:$D$454,2,FALSE)</f>
        <v>M</v>
      </c>
      <c r="AJ14" s="8" t="str">
        <f t="shared" ref="AJ14:AJ76" si="14">IF(AND(AF14=4,AI14="M"),4,"")</f>
        <v/>
      </c>
      <c r="AK14" s="8" t="str">
        <f t="shared" ref="AK14:AK76" si="15">IF(AND(AF14=4,AI14="F"),4,"")</f>
        <v/>
      </c>
      <c r="AM14" s="9">
        <v>9</v>
      </c>
      <c r="AN14" s="9">
        <v>17</v>
      </c>
      <c r="AO14" s="9">
        <v>5</v>
      </c>
      <c r="AP14" s="8">
        <f t="shared" ref="AP14:AP20" si="16">IF(AO14=5,(AN14-$D$2)*(AN14-$D$2),"")</f>
        <v>240.61060032449976</v>
      </c>
      <c r="AQ14" s="8">
        <f t="shared" ref="AQ14:AQ20" si="17">IF(AO14=5,AN14,"")</f>
        <v>17</v>
      </c>
      <c r="AR14" s="8" t="str">
        <f>VLOOKUP(AM14,Gender!$C$3:$D$454,2,FALSE)</f>
        <v>M</v>
      </c>
      <c r="AS14" s="8">
        <f t="shared" ref="AS14:AS54" si="18">IF(AND(AO14=5,AR14="M"),5,"")</f>
        <v>5</v>
      </c>
      <c r="AT14" s="8" t="str">
        <f t="shared" ref="AT14:AT54" si="19">IF(AND(AO14=5,AR14="F"),5,"")</f>
        <v/>
      </c>
    </row>
    <row r="15" spans="1:46" x14ac:dyDescent="0.25">
      <c r="C15" s="8">
        <v>2</v>
      </c>
      <c r="D15" s="8">
        <v>1</v>
      </c>
      <c r="E15" s="8">
        <v>1</v>
      </c>
      <c r="F15" s="8">
        <f>IF(E15=1,(D15-$D$2)*(D15-$D$2),"")</f>
        <v>0.23850730124391561</v>
      </c>
      <c r="G15" s="8">
        <f t="shared" si="1"/>
        <v>1</v>
      </c>
      <c r="H15" s="8" t="str">
        <f>VLOOKUP(C15,Gender!$C$3:$D$454,2,FALSE)</f>
        <v>M</v>
      </c>
      <c r="I15" s="8">
        <f t="shared" si="2"/>
        <v>1</v>
      </c>
      <c r="J15" s="8" t="str">
        <f t="shared" si="3"/>
        <v/>
      </c>
      <c r="L15" s="9">
        <v>2</v>
      </c>
      <c r="M15" s="9">
        <v>40</v>
      </c>
      <c r="N15" s="9">
        <v>2</v>
      </c>
      <c r="O15" s="8">
        <f t="shared" si="4"/>
        <v>1483.1454840454298</v>
      </c>
      <c r="P15" s="8">
        <f t="shared" si="5"/>
        <v>40</v>
      </c>
      <c r="Q15" s="8" t="str">
        <f>VLOOKUP(L15,Gender!$C$3:$D$454,2,FALSE)</f>
        <v>M</v>
      </c>
      <c r="R15" s="8">
        <f t="shared" si="6"/>
        <v>2</v>
      </c>
      <c r="S15" s="8" t="str">
        <f t="shared" si="7"/>
        <v/>
      </c>
      <c r="U15" s="9">
        <v>9</v>
      </c>
      <c r="V15" s="9">
        <v>17</v>
      </c>
      <c r="W15" s="9">
        <v>5</v>
      </c>
      <c r="X15" s="8" t="str">
        <f t="shared" si="8"/>
        <v/>
      </c>
      <c r="Y15" s="8" t="str">
        <f t="shared" si="9"/>
        <v/>
      </c>
      <c r="Z15" s="8" t="str">
        <f>VLOOKUP(U15,Gender!$C$3:$D$454,2,FALSE)</f>
        <v>M</v>
      </c>
      <c r="AA15" s="8" t="str">
        <f t="shared" si="10"/>
        <v/>
      </c>
      <c r="AB15" s="8" t="str">
        <f t="shared" si="11"/>
        <v/>
      </c>
      <c r="AD15" s="9">
        <v>9</v>
      </c>
      <c r="AE15" s="9">
        <v>17</v>
      </c>
      <c r="AF15" s="9">
        <v>5</v>
      </c>
      <c r="AG15" s="8" t="str">
        <f t="shared" si="12"/>
        <v/>
      </c>
      <c r="AH15" s="8" t="str">
        <f t="shared" si="13"/>
        <v/>
      </c>
      <c r="AI15" s="8" t="str">
        <f>VLOOKUP(AD15,Gender!$C$3:$D$454,2,FALSE)</f>
        <v>M</v>
      </c>
      <c r="AJ15" s="8" t="str">
        <f t="shared" si="14"/>
        <v/>
      </c>
      <c r="AK15" s="8" t="str">
        <f t="shared" si="15"/>
        <v/>
      </c>
      <c r="AM15" s="9">
        <v>11</v>
      </c>
      <c r="AN15" s="9">
        <v>34</v>
      </c>
      <c r="AO15" s="9">
        <v>5</v>
      </c>
      <c r="AP15" s="8">
        <f t="shared" si="16"/>
        <v>1057.0059491617089</v>
      </c>
      <c r="AQ15" s="8">
        <f t="shared" si="17"/>
        <v>34</v>
      </c>
      <c r="AR15" s="8" t="str">
        <f>VLOOKUP(AM15,Gender!$C$3:$D$454,2,FALSE)</f>
        <v>M</v>
      </c>
      <c r="AS15" s="8">
        <f t="shared" si="18"/>
        <v>5</v>
      </c>
      <c r="AT15" s="8" t="str">
        <f t="shared" si="19"/>
        <v/>
      </c>
    </row>
    <row r="16" spans="1:46" x14ac:dyDescent="0.25">
      <c r="C16" s="8">
        <v>3</v>
      </c>
      <c r="D16" s="8">
        <v>1</v>
      </c>
      <c r="E16" s="8">
        <v>1</v>
      </c>
      <c r="F16" s="8">
        <f t="shared" si="0"/>
        <v>0.23850730124391561</v>
      </c>
      <c r="G16" s="8">
        <f t="shared" si="1"/>
        <v>1</v>
      </c>
      <c r="H16" s="8" t="str">
        <f>VLOOKUP(C16,Gender!$C$3:$D$454,2,FALSE)</f>
        <v>M</v>
      </c>
      <c r="I16" s="8">
        <f t="shared" si="2"/>
        <v>1</v>
      </c>
      <c r="J16" s="8" t="str">
        <f t="shared" si="3"/>
        <v/>
      </c>
      <c r="L16" s="9">
        <v>4</v>
      </c>
      <c r="M16" s="9">
        <v>89</v>
      </c>
      <c r="N16" s="9">
        <v>2</v>
      </c>
      <c r="O16" s="8">
        <f t="shared" si="4"/>
        <v>7658.2850189291503</v>
      </c>
      <c r="P16" s="8">
        <f t="shared" si="5"/>
        <v>89</v>
      </c>
      <c r="Q16" s="8" t="str">
        <f>VLOOKUP(L16,Gender!$C$3:$D$454,2,FALSE)</f>
        <v>M</v>
      </c>
      <c r="R16" s="8">
        <f t="shared" si="6"/>
        <v>2</v>
      </c>
      <c r="S16" s="8" t="str">
        <f t="shared" si="7"/>
        <v/>
      </c>
      <c r="U16" s="9">
        <v>11</v>
      </c>
      <c r="V16" s="9">
        <v>34</v>
      </c>
      <c r="W16" s="9">
        <v>5</v>
      </c>
      <c r="X16" s="8" t="str">
        <f t="shared" si="8"/>
        <v/>
      </c>
      <c r="Y16" s="8" t="str">
        <f t="shared" si="9"/>
        <v/>
      </c>
      <c r="Z16" s="8" t="str">
        <f>VLOOKUP(U16,Gender!$C$3:$D$454,2,FALSE)</f>
        <v>M</v>
      </c>
      <c r="AA16" s="8" t="str">
        <f t="shared" si="10"/>
        <v/>
      </c>
      <c r="AB16" s="8" t="str">
        <f t="shared" si="11"/>
        <v/>
      </c>
      <c r="AD16" s="9">
        <v>11</v>
      </c>
      <c r="AE16" s="9">
        <v>34</v>
      </c>
      <c r="AF16" s="9">
        <v>5</v>
      </c>
      <c r="AG16" s="8" t="str">
        <f t="shared" si="12"/>
        <v/>
      </c>
      <c r="AH16" s="8" t="str">
        <f t="shared" si="13"/>
        <v/>
      </c>
      <c r="AI16" s="8" t="str">
        <f>VLOOKUP(AD16,Gender!$C$3:$D$454,2,FALSE)</f>
        <v>M</v>
      </c>
      <c r="AJ16" s="8" t="str">
        <f t="shared" si="14"/>
        <v/>
      </c>
      <c r="AK16" s="8" t="str">
        <f t="shared" si="15"/>
        <v/>
      </c>
      <c r="AM16" s="9">
        <v>12</v>
      </c>
      <c r="AN16" s="9">
        <v>40</v>
      </c>
      <c r="AO16" s="9">
        <v>5</v>
      </c>
      <c r="AP16" s="8">
        <f t="shared" si="16"/>
        <v>1483.1454840454298</v>
      </c>
      <c r="AQ16" s="8">
        <f t="shared" si="17"/>
        <v>40</v>
      </c>
      <c r="AR16" s="8" t="str">
        <f>VLOOKUP(AM16,Gender!$C$3:$D$454,2,FALSE)</f>
        <v>F</v>
      </c>
      <c r="AS16" s="8" t="str">
        <f t="shared" si="18"/>
        <v/>
      </c>
      <c r="AT16" s="8">
        <f t="shared" si="19"/>
        <v>5</v>
      </c>
    </row>
    <row r="17" spans="3:46" x14ac:dyDescent="0.25">
      <c r="C17" s="8">
        <v>4</v>
      </c>
      <c r="D17" s="8">
        <v>1</v>
      </c>
      <c r="E17" s="8">
        <v>1</v>
      </c>
      <c r="F17" s="8">
        <f t="shared" si="0"/>
        <v>0.23850730124391561</v>
      </c>
      <c r="G17" s="8">
        <f t="shared" si="1"/>
        <v>1</v>
      </c>
      <c r="H17" s="8" t="str">
        <f>VLOOKUP(C17,Gender!$C$3:$D$454,2,FALSE)</f>
        <v>M</v>
      </c>
      <c r="I17" s="8">
        <f t="shared" si="2"/>
        <v>1</v>
      </c>
      <c r="J17" s="8" t="str">
        <f t="shared" si="3"/>
        <v/>
      </c>
      <c r="L17" s="9">
        <v>5</v>
      </c>
      <c r="M17" s="9">
        <v>35</v>
      </c>
      <c r="N17" s="9">
        <v>5</v>
      </c>
      <c r="O17" s="8" t="str">
        <f t="shared" si="4"/>
        <v/>
      </c>
      <c r="P17" s="8" t="str">
        <f t="shared" si="5"/>
        <v/>
      </c>
      <c r="Q17" s="8" t="str">
        <f>VLOOKUP(L17,Gender!$C$3:$D$454,2,FALSE)</f>
        <v>M</v>
      </c>
      <c r="R17" s="8" t="str">
        <f t="shared" si="6"/>
        <v/>
      </c>
      <c r="S17" s="8" t="str">
        <f t="shared" si="7"/>
        <v/>
      </c>
      <c r="U17" s="9">
        <v>12</v>
      </c>
      <c r="V17" s="9">
        <v>40</v>
      </c>
      <c r="W17" s="9">
        <v>5</v>
      </c>
      <c r="X17" s="8" t="str">
        <f t="shared" si="8"/>
        <v/>
      </c>
      <c r="Y17" s="8" t="str">
        <f t="shared" si="9"/>
        <v/>
      </c>
      <c r="Z17" s="8" t="str">
        <f>VLOOKUP(U17,Gender!$C$3:$D$454,2,FALSE)</f>
        <v>F</v>
      </c>
      <c r="AA17" s="8" t="str">
        <f t="shared" si="10"/>
        <v/>
      </c>
      <c r="AB17" s="8" t="str">
        <f t="shared" si="11"/>
        <v/>
      </c>
      <c r="AD17" s="9">
        <v>12</v>
      </c>
      <c r="AE17" s="9">
        <v>40</v>
      </c>
      <c r="AF17" s="9">
        <v>5</v>
      </c>
      <c r="AG17" s="8" t="str">
        <f t="shared" si="12"/>
        <v/>
      </c>
      <c r="AH17" s="8" t="str">
        <f t="shared" si="13"/>
        <v/>
      </c>
      <c r="AI17" s="8" t="str">
        <f>VLOOKUP(AD17,Gender!$C$3:$D$454,2,FALSE)</f>
        <v>F</v>
      </c>
      <c r="AJ17" s="8" t="str">
        <f t="shared" si="14"/>
        <v/>
      </c>
      <c r="AK17" s="8" t="str">
        <f t="shared" si="15"/>
        <v/>
      </c>
      <c r="AM17" s="9">
        <v>15</v>
      </c>
      <c r="AN17" s="9">
        <v>7</v>
      </c>
      <c r="AO17" s="9">
        <v>5</v>
      </c>
      <c r="AP17" s="8">
        <f t="shared" si="16"/>
        <v>30.378042184964848</v>
      </c>
      <c r="AQ17" s="8">
        <f t="shared" si="17"/>
        <v>7</v>
      </c>
      <c r="AR17" s="8" t="str">
        <f>VLOOKUP(AM17,Gender!$C$3:$D$454,2,FALSE)</f>
        <v>F</v>
      </c>
      <c r="AS17" s="8" t="str">
        <f t="shared" si="18"/>
        <v/>
      </c>
      <c r="AT17" s="8">
        <f t="shared" si="19"/>
        <v>5</v>
      </c>
    </row>
    <row r="18" spans="3:46" x14ac:dyDescent="0.25">
      <c r="C18" s="8">
        <v>5</v>
      </c>
      <c r="D18" s="8">
        <v>1</v>
      </c>
      <c r="E18" s="8">
        <v>1</v>
      </c>
      <c r="F18" s="8">
        <f t="shared" si="0"/>
        <v>0.23850730124391561</v>
      </c>
      <c r="G18" s="8">
        <f t="shared" si="1"/>
        <v>1</v>
      </c>
      <c r="H18" s="8" t="str">
        <f>VLOOKUP(C18,Gender!$C$3:$D$454,2,FALSE)</f>
        <v>M</v>
      </c>
      <c r="I18" s="8">
        <f t="shared" si="2"/>
        <v>1</v>
      </c>
      <c r="J18" s="8" t="str">
        <f t="shared" si="3"/>
        <v/>
      </c>
      <c r="L18" s="9">
        <v>6</v>
      </c>
      <c r="M18" s="9">
        <v>129</v>
      </c>
      <c r="N18" s="9">
        <v>2</v>
      </c>
      <c r="O18" s="8">
        <f t="shared" si="4"/>
        <v>16259.215251487291</v>
      </c>
      <c r="P18" s="8">
        <f t="shared" si="5"/>
        <v>129</v>
      </c>
      <c r="Q18" s="8" t="str">
        <f>VLOOKUP(L18,Gender!$C$3:$D$454,2,FALSE)</f>
        <v>M</v>
      </c>
      <c r="R18" s="8">
        <f t="shared" si="6"/>
        <v>2</v>
      </c>
      <c r="S18" s="8" t="str">
        <f t="shared" si="7"/>
        <v/>
      </c>
      <c r="U18" s="9">
        <v>13</v>
      </c>
      <c r="V18" s="9">
        <v>23</v>
      </c>
      <c r="W18" s="9">
        <v>4</v>
      </c>
      <c r="X18" s="8" t="str">
        <f t="shared" si="8"/>
        <v/>
      </c>
      <c r="Y18" s="8" t="str">
        <f t="shared" si="9"/>
        <v/>
      </c>
      <c r="Z18" s="8" t="str">
        <f>VLOOKUP(U18,Gender!$C$3:$D$454,2,FALSE)</f>
        <v>M</v>
      </c>
      <c r="AA18" s="8" t="str">
        <f t="shared" si="10"/>
        <v/>
      </c>
      <c r="AB18" s="8" t="str">
        <f t="shared" si="11"/>
        <v/>
      </c>
      <c r="AD18" s="9">
        <v>13</v>
      </c>
      <c r="AE18" s="9">
        <v>23</v>
      </c>
      <c r="AF18" s="9">
        <v>4</v>
      </c>
      <c r="AG18" s="8">
        <f t="shared" si="12"/>
        <v>462.75013520822068</v>
      </c>
      <c r="AH18" s="8">
        <f t="shared" si="13"/>
        <v>23</v>
      </c>
      <c r="AI18" s="8" t="str">
        <f>VLOOKUP(AD18,Gender!$C$3:$D$454,2,FALSE)</f>
        <v>M</v>
      </c>
      <c r="AJ18" s="8">
        <f t="shared" si="14"/>
        <v>4</v>
      </c>
      <c r="AK18" s="8" t="str">
        <f t="shared" si="15"/>
        <v/>
      </c>
      <c r="AM18" s="9">
        <v>19</v>
      </c>
      <c r="AN18" s="9">
        <v>50</v>
      </c>
      <c r="AO18" s="9">
        <v>5</v>
      </c>
      <c r="AP18" s="8">
        <f t="shared" si="16"/>
        <v>2353.3780421849647</v>
      </c>
      <c r="AQ18" s="8">
        <f t="shared" si="17"/>
        <v>50</v>
      </c>
      <c r="AR18" s="8" t="str">
        <f>VLOOKUP(AM18,Gender!$C$3:$D$454,2,FALSE)</f>
        <v>F</v>
      </c>
      <c r="AS18" s="8" t="str">
        <f t="shared" si="18"/>
        <v/>
      </c>
      <c r="AT18" s="8">
        <f t="shared" si="19"/>
        <v>5</v>
      </c>
    </row>
    <row r="19" spans="3:46" x14ac:dyDescent="0.25">
      <c r="C19" s="8">
        <v>6</v>
      </c>
      <c r="D19" s="8">
        <v>5</v>
      </c>
      <c r="E19" s="8">
        <v>1</v>
      </c>
      <c r="F19" s="8">
        <f t="shared" si="0"/>
        <v>12.331530557057869</v>
      </c>
      <c r="G19" s="8">
        <f t="shared" si="1"/>
        <v>5</v>
      </c>
      <c r="H19" s="8" t="str">
        <f>VLOOKUP(C19,Gender!$C$3:$D$454,2,FALSE)</f>
        <v>M</v>
      </c>
      <c r="I19" s="8">
        <f t="shared" si="2"/>
        <v>1</v>
      </c>
      <c r="J19" s="8" t="str">
        <f t="shared" si="3"/>
        <v/>
      </c>
      <c r="L19" s="9">
        <v>7</v>
      </c>
      <c r="M19" s="9">
        <v>10</v>
      </c>
      <c r="N19" s="9">
        <v>2</v>
      </c>
      <c r="O19" s="8">
        <f t="shared" si="4"/>
        <v>72.447809626825332</v>
      </c>
      <c r="P19" s="8">
        <f t="shared" si="5"/>
        <v>10</v>
      </c>
      <c r="Q19" s="8" t="str">
        <f>VLOOKUP(L19,Gender!$C$3:$D$454,2,FALSE)</f>
        <v>F</v>
      </c>
      <c r="R19" s="8" t="str">
        <f t="shared" si="6"/>
        <v/>
      </c>
      <c r="S19" s="8">
        <f t="shared" si="7"/>
        <v>2</v>
      </c>
      <c r="U19" s="9">
        <v>15</v>
      </c>
      <c r="V19" s="9">
        <v>7</v>
      </c>
      <c r="W19" s="9">
        <v>5</v>
      </c>
      <c r="X19" s="8" t="str">
        <f t="shared" si="8"/>
        <v/>
      </c>
      <c r="Y19" s="8" t="str">
        <f t="shared" si="9"/>
        <v/>
      </c>
      <c r="Z19" s="8" t="str">
        <f>VLOOKUP(U19,Gender!$C$3:$D$454,2,FALSE)</f>
        <v>F</v>
      </c>
      <c r="AA19" s="8" t="str">
        <f t="shared" si="10"/>
        <v/>
      </c>
      <c r="AB19" s="8" t="str">
        <f t="shared" si="11"/>
        <v/>
      </c>
      <c r="AD19" s="9">
        <v>15</v>
      </c>
      <c r="AE19" s="9">
        <v>7</v>
      </c>
      <c r="AF19" s="9">
        <v>5</v>
      </c>
      <c r="AG19" s="8" t="str">
        <f t="shared" si="12"/>
        <v/>
      </c>
      <c r="AH19" s="8" t="str">
        <f t="shared" si="13"/>
        <v/>
      </c>
      <c r="AI19" s="8" t="str">
        <f>VLOOKUP(AD19,Gender!$C$3:$D$454,2,FALSE)</f>
        <v>F</v>
      </c>
      <c r="AJ19" s="8" t="str">
        <f t="shared" si="14"/>
        <v/>
      </c>
      <c r="AK19" s="8" t="str">
        <f t="shared" si="15"/>
        <v/>
      </c>
      <c r="AM19" s="9">
        <v>25</v>
      </c>
      <c r="AN19" s="9">
        <v>15</v>
      </c>
      <c r="AO19" s="9">
        <v>5</v>
      </c>
      <c r="AP19" s="8">
        <f t="shared" si="16"/>
        <v>182.56408869659279</v>
      </c>
      <c r="AQ19" s="8">
        <f t="shared" si="17"/>
        <v>15</v>
      </c>
      <c r="AR19" s="8" t="str">
        <f>VLOOKUP(AM19,Gender!$C$3:$D$454,2,FALSE)</f>
        <v>F</v>
      </c>
      <c r="AS19" s="8" t="str">
        <f t="shared" si="18"/>
        <v/>
      </c>
      <c r="AT19" s="8">
        <f t="shared" si="19"/>
        <v>5</v>
      </c>
    </row>
    <row r="20" spans="3:46" x14ac:dyDescent="0.25">
      <c r="C20" s="8">
        <v>7</v>
      </c>
      <c r="D20" s="8">
        <v>1</v>
      </c>
      <c r="E20" s="8">
        <v>1</v>
      </c>
      <c r="F20" s="8">
        <f t="shared" si="0"/>
        <v>0.23850730124391561</v>
      </c>
      <c r="G20" s="8">
        <f t="shared" si="1"/>
        <v>1</v>
      </c>
      <c r="H20" s="8" t="str">
        <f>VLOOKUP(C20,Gender!$C$3:$D$454,2,FALSE)</f>
        <v>F</v>
      </c>
      <c r="I20" s="8" t="str">
        <f t="shared" si="2"/>
        <v/>
      </c>
      <c r="J20" s="8">
        <f t="shared" si="3"/>
        <v>1</v>
      </c>
      <c r="L20" s="9">
        <v>8</v>
      </c>
      <c r="M20" s="9">
        <v>39</v>
      </c>
      <c r="N20" s="9">
        <v>2</v>
      </c>
      <c r="O20" s="8">
        <f t="shared" si="4"/>
        <v>1407.1222282314764</v>
      </c>
      <c r="P20" s="8">
        <f t="shared" si="5"/>
        <v>39</v>
      </c>
      <c r="Q20" s="8" t="str">
        <f>VLOOKUP(L20,Gender!$C$3:$D$454,2,FALSE)</f>
        <v>M</v>
      </c>
      <c r="R20" s="8">
        <f t="shared" si="6"/>
        <v>2</v>
      </c>
      <c r="S20" s="8" t="str">
        <f t="shared" si="7"/>
        <v/>
      </c>
      <c r="U20" s="9">
        <v>18</v>
      </c>
      <c r="V20" s="9">
        <v>52</v>
      </c>
      <c r="W20" s="9">
        <v>3</v>
      </c>
      <c r="X20" s="8">
        <f t="shared" si="8"/>
        <v>2551.4245538128716</v>
      </c>
      <c r="Y20" s="8">
        <f t="shared" si="9"/>
        <v>52</v>
      </c>
      <c r="Z20" s="8" t="str">
        <f>VLOOKUP(U20,Gender!$C$3:$D$454,2,FALSE)</f>
        <v>M</v>
      </c>
      <c r="AA20" s="8">
        <f t="shared" si="10"/>
        <v>3</v>
      </c>
      <c r="AB20" s="8" t="str">
        <f t="shared" si="11"/>
        <v/>
      </c>
      <c r="AD20" s="9">
        <v>19</v>
      </c>
      <c r="AE20" s="9">
        <v>50</v>
      </c>
      <c r="AF20" s="9">
        <v>5</v>
      </c>
      <c r="AG20" s="8" t="str">
        <f t="shared" si="12"/>
        <v/>
      </c>
      <c r="AH20" s="8" t="str">
        <f t="shared" si="13"/>
        <v/>
      </c>
      <c r="AI20" s="8" t="str">
        <f>VLOOKUP(AD20,Gender!$C$3:$D$454,2,FALSE)</f>
        <v>F</v>
      </c>
      <c r="AJ20" s="8" t="str">
        <f t="shared" si="14"/>
        <v/>
      </c>
      <c r="AK20" s="8" t="str">
        <f t="shared" si="15"/>
        <v/>
      </c>
      <c r="AM20" s="9">
        <v>28</v>
      </c>
      <c r="AN20" s="9">
        <v>3</v>
      </c>
      <c r="AO20" s="9">
        <v>5</v>
      </c>
      <c r="AP20" s="8">
        <f t="shared" si="16"/>
        <v>2.2850189291508922</v>
      </c>
      <c r="AQ20" s="8">
        <f t="shared" si="17"/>
        <v>3</v>
      </c>
      <c r="AR20" s="8" t="str">
        <f>VLOOKUP(AM20,Gender!$C$3:$D$454,2,FALSE)</f>
        <v>M</v>
      </c>
      <c r="AS20" s="8">
        <f t="shared" si="18"/>
        <v>5</v>
      </c>
      <c r="AT20" s="8" t="str">
        <f t="shared" si="19"/>
        <v/>
      </c>
    </row>
    <row r="21" spans="3:46" x14ac:dyDescent="0.25">
      <c r="C21" s="8">
        <v>8</v>
      </c>
      <c r="D21" s="8">
        <v>2</v>
      </c>
      <c r="E21" s="8">
        <v>1</v>
      </c>
      <c r="F21" s="8">
        <f t="shared" si="0"/>
        <v>0.26176311519740403</v>
      </c>
      <c r="G21" s="8">
        <f t="shared" si="1"/>
        <v>2</v>
      </c>
      <c r="H21" s="8" t="str">
        <f>VLOOKUP(C21,Gender!$C$3:$D$454,2,FALSE)</f>
        <v>M</v>
      </c>
      <c r="I21" s="8">
        <f t="shared" si="2"/>
        <v>1</v>
      </c>
      <c r="J21" s="8" t="str">
        <f t="shared" si="3"/>
        <v/>
      </c>
      <c r="L21" s="9">
        <v>9</v>
      </c>
      <c r="M21" s="9">
        <v>17</v>
      </c>
      <c r="N21" s="9">
        <v>5</v>
      </c>
      <c r="O21" s="8" t="str">
        <f t="shared" si="4"/>
        <v/>
      </c>
      <c r="P21" s="8" t="str">
        <f t="shared" si="5"/>
        <v/>
      </c>
      <c r="Q21" s="8" t="str">
        <f>VLOOKUP(L21,Gender!$C$3:$D$454,2,FALSE)</f>
        <v>M</v>
      </c>
      <c r="R21" s="8" t="str">
        <f t="shared" si="6"/>
        <v/>
      </c>
      <c r="S21" s="8" t="str">
        <f t="shared" si="7"/>
        <v/>
      </c>
      <c r="U21" s="9">
        <v>19</v>
      </c>
      <c r="V21" s="9">
        <v>50</v>
      </c>
      <c r="W21" s="9">
        <v>5</v>
      </c>
      <c r="X21" s="8" t="str">
        <f t="shared" si="8"/>
        <v/>
      </c>
      <c r="Y21" s="8" t="str">
        <f t="shared" si="9"/>
        <v/>
      </c>
      <c r="Z21" s="8" t="str">
        <f>VLOOKUP(U21,Gender!$C$3:$D$454,2,FALSE)</f>
        <v>F</v>
      </c>
      <c r="AA21" s="8" t="str">
        <f t="shared" si="10"/>
        <v/>
      </c>
      <c r="AB21" s="8" t="str">
        <f t="shared" si="11"/>
        <v/>
      </c>
      <c r="AD21" s="9">
        <v>25</v>
      </c>
      <c r="AE21" s="9">
        <v>15</v>
      </c>
      <c r="AF21" s="9">
        <v>5</v>
      </c>
      <c r="AG21" s="8" t="str">
        <f t="shared" si="12"/>
        <v/>
      </c>
      <c r="AH21" s="8" t="str">
        <f t="shared" si="13"/>
        <v/>
      </c>
      <c r="AI21" s="8" t="str">
        <f>VLOOKUP(AD21,Gender!$C$3:$D$454,2,FALSE)</f>
        <v>F</v>
      </c>
      <c r="AJ21" s="8" t="str">
        <f t="shared" si="14"/>
        <v/>
      </c>
      <c r="AK21" s="8" t="str">
        <f t="shared" si="15"/>
        <v/>
      </c>
      <c r="AM21" s="9">
        <v>32</v>
      </c>
      <c r="AN21" s="9">
        <v>14</v>
      </c>
      <c r="AO21" s="9">
        <v>5</v>
      </c>
      <c r="AP21" s="8">
        <f t="shared" ref="AP21:AP54" si="20">IF(AO21=5,(AN21-$D$2)*(AN21-$D$2),"")</f>
        <v>156.54083288263928</v>
      </c>
      <c r="AQ21" s="8">
        <f t="shared" ref="AQ21:AQ54" si="21">IF(AO21=5,AN21,"")</f>
        <v>14</v>
      </c>
      <c r="AR21" s="8" t="str">
        <f>VLOOKUP(AM21,Gender!$C$3:$D$454,2,FALSE)</f>
        <v>F</v>
      </c>
      <c r="AS21" s="8" t="str">
        <f t="shared" si="18"/>
        <v/>
      </c>
      <c r="AT21" s="8">
        <f t="shared" si="19"/>
        <v>5</v>
      </c>
    </row>
    <row r="22" spans="3:46" x14ac:dyDescent="0.25">
      <c r="C22" s="8">
        <v>9</v>
      </c>
      <c r="D22" s="8">
        <v>1</v>
      </c>
      <c r="E22" s="8">
        <v>1</v>
      </c>
      <c r="F22" s="8">
        <f t="shared" si="0"/>
        <v>0.23850730124391561</v>
      </c>
      <c r="G22" s="8">
        <f t="shared" si="1"/>
        <v>1</v>
      </c>
      <c r="H22" s="8" t="str">
        <f>VLOOKUP(C22,Gender!$C$3:$D$454,2,FALSE)</f>
        <v>M</v>
      </c>
      <c r="I22" s="8">
        <f t="shared" si="2"/>
        <v>1</v>
      </c>
      <c r="J22" s="8" t="str">
        <f t="shared" si="3"/>
        <v/>
      </c>
      <c r="L22" s="9">
        <v>11</v>
      </c>
      <c r="M22" s="9">
        <v>34</v>
      </c>
      <c r="N22" s="9">
        <v>5</v>
      </c>
      <c r="O22" s="8" t="str">
        <f t="shared" si="4"/>
        <v/>
      </c>
      <c r="P22" s="8" t="str">
        <f t="shared" si="5"/>
        <v/>
      </c>
      <c r="Q22" s="8" t="str">
        <f>VLOOKUP(L22,Gender!$C$3:$D$454,2,FALSE)</f>
        <v>M</v>
      </c>
      <c r="R22" s="8" t="str">
        <f t="shared" si="6"/>
        <v/>
      </c>
      <c r="S22" s="8" t="str">
        <f t="shared" si="7"/>
        <v/>
      </c>
      <c r="U22" s="9">
        <v>20</v>
      </c>
      <c r="V22" s="9">
        <v>12</v>
      </c>
      <c r="W22" s="9">
        <v>3</v>
      </c>
      <c r="X22" s="8">
        <f t="shared" si="8"/>
        <v>110.49432125473231</v>
      </c>
      <c r="Y22" s="8">
        <f t="shared" si="9"/>
        <v>12</v>
      </c>
      <c r="Z22" s="8" t="str">
        <f>VLOOKUP(U22,Gender!$C$3:$D$454,2,FALSE)</f>
        <v>F</v>
      </c>
      <c r="AA22" s="8" t="str">
        <f t="shared" si="10"/>
        <v/>
      </c>
      <c r="AB22" s="8">
        <f t="shared" si="11"/>
        <v>3</v>
      </c>
      <c r="AD22" s="9">
        <v>26</v>
      </c>
      <c r="AE22" s="9">
        <v>27</v>
      </c>
      <c r="AF22" s="9">
        <v>4</v>
      </c>
      <c r="AG22" s="8">
        <f t="shared" si="12"/>
        <v>650.84315846403467</v>
      </c>
      <c r="AH22" s="8">
        <f t="shared" si="13"/>
        <v>27</v>
      </c>
      <c r="AI22" s="8" t="str">
        <f>VLOOKUP(AD22,Gender!$C$3:$D$454,2,FALSE)</f>
        <v>M</v>
      </c>
      <c r="AJ22" s="8">
        <f t="shared" si="14"/>
        <v>4</v>
      </c>
      <c r="AK22" s="8" t="str">
        <f t="shared" si="15"/>
        <v/>
      </c>
      <c r="AM22" s="9">
        <v>34</v>
      </c>
      <c r="AN22" s="9">
        <v>6</v>
      </c>
      <c r="AO22" s="9">
        <v>5</v>
      </c>
      <c r="AP22" s="8">
        <f t="shared" si="20"/>
        <v>20.354786371011357</v>
      </c>
      <c r="AQ22" s="8">
        <f t="shared" si="21"/>
        <v>6</v>
      </c>
      <c r="AR22" s="8" t="str">
        <f>VLOOKUP(AM22,Gender!$C$3:$D$454,2,FALSE)</f>
        <v>M</v>
      </c>
      <c r="AS22" s="8">
        <f t="shared" si="18"/>
        <v>5</v>
      </c>
      <c r="AT22" s="8" t="str">
        <f t="shared" si="19"/>
        <v/>
      </c>
    </row>
    <row r="23" spans="3:46" x14ac:dyDescent="0.25">
      <c r="C23" s="8">
        <v>10</v>
      </c>
      <c r="D23" s="8">
        <v>2</v>
      </c>
      <c r="E23" s="8">
        <v>1</v>
      </c>
      <c r="F23" s="8">
        <f t="shared" si="0"/>
        <v>0.26176311519740403</v>
      </c>
      <c r="G23" s="8">
        <f t="shared" si="1"/>
        <v>2</v>
      </c>
      <c r="H23" s="8" t="str">
        <f>VLOOKUP(C23,Gender!$C$3:$D$454,2,FALSE)</f>
        <v>M</v>
      </c>
      <c r="I23" s="8">
        <f t="shared" si="2"/>
        <v>1</v>
      </c>
      <c r="J23" s="8" t="str">
        <f t="shared" si="3"/>
        <v/>
      </c>
      <c r="L23" s="9">
        <v>12</v>
      </c>
      <c r="M23" s="9">
        <v>40</v>
      </c>
      <c r="N23" s="9">
        <v>5</v>
      </c>
      <c r="O23" s="8" t="str">
        <f t="shared" si="4"/>
        <v/>
      </c>
      <c r="P23" s="8" t="str">
        <f t="shared" si="5"/>
        <v/>
      </c>
      <c r="Q23" s="8" t="str">
        <f>VLOOKUP(L23,Gender!$C$3:$D$454,2,FALSE)</f>
        <v>F</v>
      </c>
      <c r="R23" s="8" t="str">
        <f t="shared" si="6"/>
        <v/>
      </c>
      <c r="S23" s="8" t="str">
        <f t="shared" si="7"/>
        <v/>
      </c>
      <c r="U23" s="9">
        <v>21</v>
      </c>
      <c r="V23" s="9">
        <v>42</v>
      </c>
      <c r="W23" s="9">
        <v>3</v>
      </c>
      <c r="X23" s="8">
        <f t="shared" si="8"/>
        <v>1641.1919956733368</v>
      </c>
      <c r="Y23" s="8">
        <f t="shared" si="9"/>
        <v>42</v>
      </c>
      <c r="Z23" s="8" t="str">
        <f>VLOOKUP(U23,Gender!$C$3:$D$454,2,FALSE)</f>
        <v>F</v>
      </c>
      <c r="AA23" s="8" t="str">
        <f t="shared" si="10"/>
        <v/>
      </c>
      <c r="AB23" s="8">
        <f t="shared" si="11"/>
        <v>3</v>
      </c>
      <c r="AD23" s="9">
        <v>28</v>
      </c>
      <c r="AE23" s="9">
        <v>3</v>
      </c>
      <c r="AF23" s="9">
        <v>5</v>
      </c>
      <c r="AG23" s="8" t="str">
        <f t="shared" si="12"/>
        <v/>
      </c>
      <c r="AH23" s="8" t="str">
        <f t="shared" si="13"/>
        <v/>
      </c>
      <c r="AI23" s="8" t="str">
        <f>VLOOKUP(AD23,Gender!$C$3:$D$454,2,FALSE)</f>
        <v>M</v>
      </c>
      <c r="AJ23" s="8" t="str">
        <f t="shared" si="14"/>
        <v/>
      </c>
      <c r="AK23" s="8" t="str">
        <f t="shared" si="15"/>
        <v/>
      </c>
      <c r="AM23" s="9">
        <v>44</v>
      </c>
      <c r="AN23" s="9">
        <v>47</v>
      </c>
      <c r="AO23" s="9">
        <v>5</v>
      </c>
      <c r="AP23" s="8">
        <f t="shared" si="20"/>
        <v>2071.308274743104</v>
      </c>
      <c r="AQ23" s="8">
        <f t="shared" si="21"/>
        <v>47</v>
      </c>
      <c r="AR23" s="8" t="str">
        <f>VLOOKUP(AM23,Gender!$C$3:$D$454,2,FALSE)</f>
        <v>M</v>
      </c>
      <c r="AS23" s="8">
        <f t="shared" si="18"/>
        <v>5</v>
      </c>
      <c r="AT23" s="8" t="str">
        <f t="shared" si="19"/>
        <v/>
      </c>
    </row>
    <row r="24" spans="3:46" x14ac:dyDescent="0.25">
      <c r="C24" s="8">
        <v>11</v>
      </c>
      <c r="D24" s="8">
        <v>1</v>
      </c>
      <c r="E24" s="8">
        <v>1</v>
      </c>
      <c r="F24" s="8">
        <f t="shared" si="0"/>
        <v>0.23850730124391561</v>
      </c>
      <c r="G24" s="8">
        <f t="shared" si="1"/>
        <v>1</v>
      </c>
      <c r="H24" s="8" t="str">
        <f>VLOOKUP(C24,Gender!$C$3:$D$454,2,FALSE)</f>
        <v>M</v>
      </c>
      <c r="I24" s="8">
        <f t="shared" si="2"/>
        <v>1</v>
      </c>
      <c r="J24" s="8" t="str">
        <f t="shared" si="3"/>
        <v/>
      </c>
      <c r="L24" s="9">
        <v>13</v>
      </c>
      <c r="M24" s="9">
        <v>23</v>
      </c>
      <c r="N24" s="9">
        <v>4</v>
      </c>
      <c r="O24" s="8" t="str">
        <f t="shared" si="4"/>
        <v/>
      </c>
      <c r="P24" s="8" t="str">
        <f t="shared" si="5"/>
        <v/>
      </c>
      <c r="Q24" s="8" t="str">
        <f>VLOOKUP(L24,Gender!$C$3:$D$454,2,FALSE)</f>
        <v>M</v>
      </c>
      <c r="R24" s="8" t="str">
        <f t="shared" si="6"/>
        <v/>
      </c>
      <c r="S24" s="8" t="str">
        <f t="shared" si="7"/>
        <v/>
      </c>
      <c r="U24" s="9">
        <v>25</v>
      </c>
      <c r="V24" s="9">
        <v>15</v>
      </c>
      <c r="W24" s="9">
        <v>5</v>
      </c>
      <c r="X24" s="8" t="str">
        <f t="shared" si="8"/>
        <v/>
      </c>
      <c r="Y24" s="8" t="str">
        <f t="shared" si="9"/>
        <v/>
      </c>
      <c r="Z24" s="8" t="str">
        <f>VLOOKUP(U24,Gender!$C$3:$D$454,2,FALSE)</f>
        <v>F</v>
      </c>
      <c r="AA24" s="8" t="str">
        <f t="shared" si="10"/>
        <v/>
      </c>
      <c r="AB24" s="8" t="str">
        <f t="shared" si="11"/>
        <v/>
      </c>
      <c r="AD24" s="9">
        <v>32</v>
      </c>
      <c r="AE24" s="9">
        <v>14</v>
      </c>
      <c r="AF24" s="9">
        <v>5</v>
      </c>
      <c r="AG24" s="8" t="str">
        <f t="shared" si="12"/>
        <v/>
      </c>
      <c r="AH24" s="8" t="str">
        <f t="shared" si="13"/>
        <v/>
      </c>
      <c r="AI24" s="8" t="str">
        <f>VLOOKUP(AD24,Gender!$C$3:$D$454,2,FALSE)</f>
        <v>F</v>
      </c>
      <c r="AJ24" s="8" t="str">
        <f t="shared" si="14"/>
        <v/>
      </c>
      <c r="AK24" s="8" t="str">
        <f t="shared" si="15"/>
        <v/>
      </c>
      <c r="AM24" s="9">
        <v>48</v>
      </c>
      <c r="AN24" s="9">
        <v>44</v>
      </c>
      <c r="AO24">
        <v>5</v>
      </c>
      <c r="AP24" s="8">
        <f t="shared" si="20"/>
        <v>1807.2385073012438</v>
      </c>
      <c r="AQ24" s="8">
        <f t="shared" si="21"/>
        <v>44</v>
      </c>
      <c r="AR24" s="8" t="str">
        <f>VLOOKUP(AM24,Gender!$C$3:$D$454,2,FALSE)</f>
        <v>M</v>
      </c>
      <c r="AS24" s="8">
        <f t="shared" si="18"/>
        <v>5</v>
      </c>
      <c r="AT24" s="8" t="str">
        <f t="shared" si="19"/>
        <v/>
      </c>
    </row>
    <row r="25" spans="3:46" x14ac:dyDescent="0.25">
      <c r="C25" s="8">
        <v>12</v>
      </c>
      <c r="D25" s="8">
        <v>1</v>
      </c>
      <c r="E25" s="8">
        <v>1</v>
      </c>
      <c r="F25" s="8">
        <f t="shared" si="0"/>
        <v>0.23850730124391561</v>
      </c>
      <c r="G25" s="8">
        <f t="shared" si="1"/>
        <v>1</v>
      </c>
      <c r="H25" s="8" t="str">
        <f>VLOOKUP(C25,Gender!$C$3:$D$454,2,FALSE)</f>
        <v>F</v>
      </c>
      <c r="I25" s="8" t="str">
        <f t="shared" si="2"/>
        <v/>
      </c>
      <c r="J25" s="8">
        <f t="shared" si="3"/>
        <v>1</v>
      </c>
      <c r="L25" s="9">
        <v>14</v>
      </c>
      <c r="M25" s="9">
        <v>1</v>
      </c>
      <c r="N25" s="9">
        <v>2</v>
      </c>
      <c r="O25" s="8">
        <f t="shared" si="4"/>
        <v>0.23850730124391561</v>
      </c>
      <c r="P25" s="8">
        <f t="shared" si="5"/>
        <v>1</v>
      </c>
      <c r="Q25" s="8" t="str">
        <f>VLOOKUP(L25,Gender!$C$3:$D$454,2,FALSE)</f>
        <v>M</v>
      </c>
      <c r="R25" s="8">
        <f t="shared" si="6"/>
        <v>2</v>
      </c>
      <c r="S25" s="8" t="str">
        <f t="shared" si="7"/>
        <v/>
      </c>
      <c r="U25" s="9">
        <v>26</v>
      </c>
      <c r="V25" s="9">
        <v>27</v>
      </c>
      <c r="W25" s="9">
        <v>4</v>
      </c>
      <c r="X25" s="8" t="str">
        <f t="shared" si="8"/>
        <v/>
      </c>
      <c r="Y25" s="8" t="str">
        <f t="shared" si="9"/>
        <v/>
      </c>
      <c r="Z25" s="8" t="str">
        <f>VLOOKUP(U25,Gender!$C$3:$D$454,2,FALSE)</f>
        <v>M</v>
      </c>
      <c r="AA25" s="8" t="str">
        <f t="shared" si="10"/>
        <v/>
      </c>
      <c r="AB25" s="8" t="str">
        <f t="shared" si="11"/>
        <v/>
      </c>
      <c r="AD25" s="9">
        <v>34</v>
      </c>
      <c r="AE25" s="9">
        <v>6</v>
      </c>
      <c r="AF25" s="9">
        <v>5</v>
      </c>
      <c r="AG25" s="8" t="str">
        <f t="shared" si="12"/>
        <v/>
      </c>
      <c r="AH25" s="8" t="str">
        <f t="shared" si="13"/>
        <v/>
      </c>
      <c r="AI25" s="8" t="str">
        <f>VLOOKUP(AD25,Gender!$C$3:$D$454,2,FALSE)</f>
        <v>M</v>
      </c>
      <c r="AJ25" s="8" t="str">
        <f t="shared" si="14"/>
        <v/>
      </c>
      <c r="AK25" s="8" t="str">
        <f t="shared" si="15"/>
        <v/>
      </c>
      <c r="AM25" s="9">
        <v>53</v>
      </c>
      <c r="AN25" s="9">
        <v>17</v>
      </c>
      <c r="AO25">
        <v>5</v>
      </c>
      <c r="AP25" s="8">
        <f t="shared" si="20"/>
        <v>240.61060032449976</v>
      </c>
      <c r="AQ25" s="8">
        <f t="shared" si="21"/>
        <v>17</v>
      </c>
      <c r="AR25" s="8" t="str">
        <f>VLOOKUP(AM25,Gender!$C$3:$D$454,2,FALSE)</f>
        <v>F</v>
      </c>
      <c r="AS25" s="8" t="str">
        <f t="shared" si="18"/>
        <v/>
      </c>
      <c r="AT25" s="8">
        <f t="shared" si="19"/>
        <v>5</v>
      </c>
    </row>
    <row r="26" spans="3:46" x14ac:dyDescent="0.25">
      <c r="C26" s="8">
        <v>13</v>
      </c>
      <c r="D26" s="8">
        <v>1</v>
      </c>
      <c r="E26" s="8">
        <v>1</v>
      </c>
      <c r="F26" s="8">
        <f t="shared" si="0"/>
        <v>0.23850730124391561</v>
      </c>
      <c r="G26" s="8">
        <f t="shared" si="1"/>
        <v>1</v>
      </c>
      <c r="H26" s="8" t="str">
        <f>VLOOKUP(C26,Gender!$C$3:$D$454,2,FALSE)</f>
        <v>M</v>
      </c>
      <c r="I26" s="8">
        <f t="shared" si="2"/>
        <v>1</v>
      </c>
      <c r="J26" s="8" t="str">
        <f t="shared" si="3"/>
        <v/>
      </c>
      <c r="L26" s="9">
        <v>15</v>
      </c>
      <c r="M26" s="9">
        <v>7</v>
      </c>
      <c r="N26" s="9">
        <v>5</v>
      </c>
      <c r="O26" s="8" t="str">
        <f t="shared" si="4"/>
        <v/>
      </c>
      <c r="P26" s="8" t="str">
        <f t="shared" si="5"/>
        <v/>
      </c>
      <c r="Q26" s="8" t="str">
        <f>VLOOKUP(L26,Gender!$C$3:$D$454,2,FALSE)</f>
        <v>F</v>
      </c>
      <c r="R26" s="8" t="str">
        <f t="shared" si="6"/>
        <v/>
      </c>
      <c r="S26" s="8" t="str">
        <f t="shared" si="7"/>
        <v/>
      </c>
      <c r="U26" s="9">
        <v>27</v>
      </c>
      <c r="V26" s="9">
        <v>19</v>
      </c>
      <c r="W26" s="9">
        <v>3</v>
      </c>
      <c r="X26" s="8">
        <f t="shared" si="8"/>
        <v>306.65711195240675</v>
      </c>
      <c r="Y26" s="8">
        <f t="shared" si="9"/>
        <v>19</v>
      </c>
      <c r="Z26" s="8" t="str">
        <f>VLOOKUP(U26,Gender!$C$3:$D$454,2,FALSE)</f>
        <v>F</v>
      </c>
      <c r="AA26" s="8" t="str">
        <f t="shared" si="10"/>
        <v/>
      </c>
      <c r="AB26" s="8">
        <f t="shared" si="11"/>
        <v>3</v>
      </c>
      <c r="AD26" s="9">
        <v>44</v>
      </c>
      <c r="AE26" s="9">
        <v>47</v>
      </c>
      <c r="AF26">
        <v>5</v>
      </c>
      <c r="AG26" s="8" t="str">
        <f t="shared" si="12"/>
        <v/>
      </c>
      <c r="AH26" s="8" t="str">
        <f t="shared" si="13"/>
        <v/>
      </c>
      <c r="AI26" s="8" t="str">
        <f>VLOOKUP(AD26,Gender!$C$3:$D$454,2,FALSE)</f>
        <v>M</v>
      </c>
      <c r="AJ26" s="8" t="str">
        <f t="shared" si="14"/>
        <v/>
      </c>
      <c r="AK26" s="8" t="str">
        <f t="shared" si="15"/>
        <v/>
      </c>
      <c r="AM26">
        <v>63</v>
      </c>
      <c r="AN26">
        <v>6</v>
      </c>
      <c r="AO26">
        <v>5</v>
      </c>
      <c r="AP26" s="8">
        <f t="shared" si="20"/>
        <v>20.354786371011357</v>
      </c>
      <c r="AQ26" s="8">
        <f t="shared" si="21"/>
        <v>6</v>
      </c>
      <c r="AR26" s="8" t="str">
        <f>VLOOKUP(AM26,Gender!$C$3:$D$454,2,FALSE)</f>
        <v>M</v>
      </c>
      <c r="AS26" s="8">
        <f t="shared" si="18"/>
        <v>5</v>
      </c>
      <c r="AT26" s="8" t="str">
        <f t="shared" si="19"/>
        <v/>
      </c>
    </row>
    <row r="27" spans="3:46" x14ac:dyDescent="0.25">
      <c r="C27" s="8">
        <v>14</v>
      </c>
      <c r="D27" s="8">
        <v>1</v>
      </c>
      <c r="E27" s="8">
        <v>2</v>
      </c>
      <c r="F27" s="8" t="str">
        <f t="shared" si="0"/>
        <v/>
      </c>
      <c r="G27" s="8" t="str">
        <f t="shared" si="1"/>
        <v/>
      </c>
      <c r="H27" s="8" t="str">
        <f>VLOOKUP(C27,Gender!$C$3:$D$454,2,FALSE)</f>
        <v>M</v>
      </c>
      <c r="I27" s="8" t="str">
        <f t="shared" si="2"/>
        <v/>
      </c>
      <c r="J27" s="8" t="str">
        <f t="shared" si="3"/>
        <v/>
      </c>
      <c r="L27" s="9">
        <v>18</v>
      </c>
      <c r="M27" s="9">
        <v>52</v>
      </c>
      <c r="N27" s="9">
        <v>3</v>
      </c>
      <c r="O27" s="8" t="str">
        <f t="shared" si="4"/>
        <v/>
      </c>
      <c r="P27" s="8" t="str">
        <f t="shared" si="5"/>
        <v/>
      </c>
      <c r="Q27" s="8" t="str">
        <f>VLOOKUP(L27,Gender!$C$3:$D$454,2,FALSE)</f>
        <v>M</v>
      </c>
      <c r="R27" s="8" t="str">
        <f t="shared" si="6"/>
        <v/>
      </c>
      <c r="S27" s="8" t="str">
        <f t="shared" si="7"/>
        <v/>
      </c>
      <c r="U27" s="9">
        <v>28</v>
      </c>
      <c r="V27" s="9">
        <v>3</v>
      </c>
      <c r="W27" s="9">
        <v>5</v>
      </c>
      <c r="X27" s="8" t="str">
        <f t="shared" si="8"/>
        <v/>
      </c>
      <c r="Y27" s="8" t="str">
        <f t="shared" si="9"/>
        <v/>
      </c>
      <c r="Z27" s="8" t="str">
        <f>VLOOKUP(U27,Gender!$C$3:$D$454,2,FALSE)</f>
        <v>M</v>
      </c>
      <c r="AA27" s="8" t="str">
        <f t="shared" si="10"/>
        <v/>
      </c>
      <c r="AB27" s="8" t="str">
        <f t="shared" si="11"/>
        <v/>
      </c>
      <c r="AD27" s="9">
        <v>45</v>
      </c>
      <c r="AE27" s="9">
        <v>48</v>
      </c>
      <c r="AF27">
        <v>4</v>
      </c>
      <c r="AG27" s="8">
        <f t="shared" si="12"/>
        <v>2163.3315305570577</v>
      </c>
      <c r="AH27" s="8">
        <f t="shared" si="13"/>
        <v>48</v>
      </c>
      <c r="AI27" s="8" t="str">
        <f>VLOOKUP(AD27,Gender!$C$3:$D$454,2,FALSE)</f>
        <v>M</v>
      </c>
      <c r="AJ27" s="8">
        <f t="shared" si="14"/>
        <v>4</v>
      </c>
      <c r="AK27" s="8" t="str">
        <f t="shared" si="15"/>
        <v/>
      </c>
      <c r="AM27">
        <v>71</v>
      </c>
      <c r="AN27">
        <v>5</v>
      </c>
      <c r="AO27">
        <v>5</v>
      </c>
      <c r="AP27" s="8">
        <f t="shared" si="20"/>
        <v>12.331530557057869</v>
      </c>
      <c r="AQ27" s="8">
        <f t="shared" si="21"/>
        <v>5</v>
      </c>
      <c r="AR27" s="8" t="str">
        <f>VLOOKUP(AM27,Gender!$C$3:$D$454,2,FALSE)</f>
        <v>M</v>
      </c>
      <c r="AS27" s="8">
        <f t="shared" si="18"/>
        <v>5</v>
      </c>
      <c r="AT27" s="8" t="str">
        <f t="shared" si="19"/>
        <v/>
      </c>
    </row>
    <row r="28" spans="3:46" x14ac:dyDescent="0.25">
      <c r="C28" s="8">
        <v>15</v>
      </c>
      <c r="D28" s="8">
        <v>1</v>
      </c>
      <c r="E28" s="8">
        <v>1</v>
      </c>
      <c r="F28" s="8">
        <f t="shared" si="0"/>
        <v>0.23850730124391561</v>
      </c>
      <c r="G28" s="8">
        <f t="shared" si="1"/>
        <v>1</v>
      </c>
      <c r="H28" s="8" t="str">
        <f>VLOOKUP(C28,Gender!$C$3:$D$454,2,FALSE)</f>
        <v>F</v>
      </c>
      <c r="I28" s="8" t="str">
        <f t="shared" si="2"/>
        <v/>
      </c>
      <c r="J28" s="8">
        <f t="shared" si="3"/>
        <v>1</v>
      </c>
      <c r="L28" s="9">
        <v>19</v>
      </c>
      <c r="M28" s="9">
        <v>50</v>
      </c>
      <c r="N28" s="9">
        <v>5</v>
      </c>
      <c r="O28" s="8" t="str">
        <f t="shared" si="4"/>
        <v/>
      </c>
      <c r="P28" s="8" t="str">
        <f t="shared" si="5"/>
        <v/>
      </c>
      <c r="Q28" s="8" t="str">
        <f>VLOOKUP(L28,Gender!$C$3:$D$454,2,FALSE)</f>
        <v>F</v>
      </c>
      <c r="R28" s="8" t="str">
        <f t="shared" si="6"/>
        <v/>
      </c>
      <c r="S28" s="8" t="str">
        <f t="shared" si="7"/>
        <v/>
      </c>
      <c r="U28" s="9">
        <v>30</v>
      </c>
      <c r="V28" s="9">
        <v>43</v>
      </c>
      <c r="W28" s="9">
        <v>3</v>
      </c>
      <c r="X28" s="8">
        <f t="shared" si="8"/>
        <v>1723.2152514872903</v>
      </c>
      <c r="Y28" s="8">
        <f t="shared" si="9"/>
        <v>43</v>
      </c>
      <c r="Z28" s="8" t="str">
        <f>VLOOKUP(U28,Gender!$C$3:$D$454,2,FALSE)</f>
        <v>F</v>
      </c>
      <c r="AA28" s="8" t="str">
        <f t="shared" si="10"/>
        <v/>
      </c>
      <c r="AB28" s="8">
        <f t="shared" si="11"/>
        <v>3</v>
      </c>
      <c r="AD28" s="9">
        <v>48</v>
      </c>
      <c r="AE28" s="9">
        <v>44</v>
      </c>
      <c r="AF28">
        <v>5</v>
      </c>
      <c r="AG28" s="8" t="str">
        <f t="shared" si="12"/>
        <v/>
      </c>
      <c r="AH28" s="8" t="str">
        <f t="shared" si="13"/>
        <v/>
      </c>
      <c r="AI28" s="8" t="str">
        <f>VLOOKUP(AD28,Gender!$C$3:$D$454,2,FALSE)</f>
        <v>M</v>
      </c>
      <c r="AJ28" s="8" t="str">
        <f t="shared" si="14"/>
        <v/>
      </c>
      <c r="AK28" s="8" t="str">
        <f t="shared" si="15"/>
        <v/>
      </c>
      <c r="AM28">
        <v>93</v>
      </c>
      <c r="AN28">
        <v>10</v>
      </c>
      <c r="AO28">
        <v>5</v>
      </c>
      <c r="AP28" s="8">
        <f t="shared" si="20"/>
        <v>72.447809626825332</v>
      </c>
      <c r="AQ28" s="8">
        <f t="shared" si="21"/>
        <v>10</v>
      </c>
      <c r="AR28" s="8" t="str">
        <f>VLOOKUP(AM28,Gender!$C$3:$D$454,2,FALSE)</f>
        <v>M</v>
      </c>
      <c r="AS28" s="8">
        <f t="shared" si="18"/>
        <v>5</v>
      </c>
      <c r="AT28" s="8" t="str">
        <f t="shared" si="19"/>
        <v/>
      </c>
    </row>
    <row r="29" spans="3:46" x14ac:dyDescent="0.25">
      <c r="C29" s="8">
        <v>16</v>
      </c>
      <c r="D29" s="8">
        <v>3</v>
      </c>
      <c r="E29" s="8">
        <v>1</v>
      </c>
      <c r="F29" s="8">
        <f t="shared" si="0"/>
        <v>2.2850189291508922</v>
      </c>
      <c r="G29" s="8">
        <f t="shared" si="1"/>
        <v>3</v>
      </c>
      <c r="H29" s="8" t="str">
        <f>VLOOKUP(C29,Gender!$C$3:$D$454,2,FALSE)</f>
        <v>M</v>
      </c>
      <c r="I29" s="8">
        <f t="shared" si="2"/>
        <v>1</v>
      </c>
      <c r="J29" s="8" t="str">
        <f t="shared" si="3"/>
        <v/>
      </c>
      <c r="L29" s="9">
        <v>20</v>
      </c>
      <c r="M29" s="9">
        <v>12</v>
      </c>
      <c r="N29" s="9">
        <v>3</v>
      </c>
      <c r="O29" s="8" t="str">
        <f t="shared" si="4"/>
        <v/>
      </c>
      <c r="P29" s="8" t="str">
        <f t="shared" si="5"/>
        <v/>
      </c>
      <c r="Q29" s="8" t="str">
        <f>VLOOKUP(L29,Gender!$C$3:$D$454,2,FALSE)</f>
        <v>F</v>
      </c>
      <c r="R29" s="8" t="str">
        <f t="shared" si="6"/>
        <v/>
      </c>
      <c r="S29" s="8" t="str">
        <f t="shared" si="7"/>
        <v/>
      </c>
      <c r="U29" s="9">
        <v>31</v>
      </c>
      <c r="V29" s="9">
        <v>23</v>
      </c>
      <c r="W29" s="9">
        <v>3</v>
      </c>
      <c r="X29" s="8">
        <f t="shared" si="8"/>
        <v>462.75013520822068</v>
      </c>
      <c r="Y29" s="8">
        <f t="shared" si="9"/>
        <v>23</v>
      </c>
      <c r="Z29" s="8" t="str">
        <f>VLOOKUP(U29,Gender!$C$3:$D$454,2,FALSE)</f>
        <v>M</v>
      </c>
      <c r="AA29" s="8">
        <f t="shared" si="10"/>
        <v>3</v>
      </c>
      <c r="AB29" s="8" t="str">
        <f t="shared" si="11"/>
        <v/>
      </c>
      <c r="AD29" s="9">
        <v>52</v>
      </c>
      <c r="AE29" s="9">
        <v>12</v>
      </c>
      <c r="AF29">
        <v>4</v>
      </c>
      <c r="AG29" s="8">
        <f t="shared" si="12"/>
        <v>110.49432125473231</v>
      </c>
      <c r="AH29" s="8">
        <f t="shared" si="13"/>
        <v>12</v>
      </c>
      <c r="AI29" s="8" t="str">
        <f>VLOOKUP(AD29,Gender!$C$3:$D$454,2,FALSE)</f>
        <v>F</v>
      </c>
      <c r="AJ29" s="8" t="str">
        <f t="shared" si="14"/>
        <v/>
      </c>
      <c r="AK29" s="8">
        <f t="shared" si="15"/>
        <v>4</v>
      </c>
      <c r="AM29">
        <v>94</v>
      </c>
      <c r="AN29">
        <v>18</v>
      </c>
      <c r="AO29">
        <v>5</v>
      </c>
      <c r="AP29" s="8">
        <f t="shared" si="20"/>
        <v>272.63385613845327</v>
      </c>
      <c r="AQ29" s="8">
        <f t="shared" si="21"/>
        <v>18</v>
      </c>
      <c r="AR29" s="8" t="str">
        <f>VLOOKUP(AM29,Gender!$C$3:$D$454,2,FALSE)</f>
        <v>M</v>
      </c>
      <c r="AS29" s="8">
        <f t="shared" si="18"/>
        <v>5</v>
      </c>
      <c r="AT29" s="8" t="str">
        <f t="shared" si="19"/>
        <v/>
      </c>
    </row>
    <row r="30" spans="3:46" x14ac:dyDescent="0.25">
      <c r="C30" s="8">
        <v>17</v>
      </c>
      <c r="D30" s="8">
        <v>1</v>
      </c>
      <c r="E30" s="8">
        <v>1</v>
      </c>
      <c r="F30" s="8">
        <f t="shared" si="0"/>
        <v>0.23850730124391561</v>
      </c>
      <c r="G30" s="8">
        <f t="shared" si="1"/>
        <v>1</v>
      </c>
      <c r="H30" s="8" t="str">
        <f>VLOOKUP(C30,Gender!$C$3:$D$454,2,FALSE)</f>
        <v>F</v>
      </c>
      <c r="I30" s="8" t="str">
        <f t="shared" si="2"/>
        <v/>
      </c>
      <c r="J30" s="8">
        <f t="shared" si="3"/>
        <v>1</v>
      </c>
      <c r="L30" s="9">
        <v>21</v>
      </c>
      <c r="M30" s="9">
        <v>42</v>
      </c>
      <c r="N30" s="9">
        <v>3</v>
      </c>
      <c r="O30" s="8" t="str">
        <f t="shared" si="4"/>
        <v/>
      </c>
      <c r="P30" s="8" t="str">
        <f t="shared" si="5"/>
        <v/>
      </c>
      <c r="Q30" s="8" t="str">
        <f>VLOOKUP(L30,Gender!$C$3:$D$454,2,FALSE)</f>
        <v>F</v>
      </c>
      <c r="R30" s="8" t="str">
        <f t="shared" si="6"/>
        <v/>
      </c>
      <c r="S30" s="8" t="str">
        <f t="shared" si="7"/>
        <v/>
      </c>
      <c r="U30" s="9">
        <v>32</v>
      </c>
      <c r="V30" s="9">
        <v>14</v>
      </c>
      <c r="W30">
        <v>5</v>
      </c>
      <c r="X30" s="8" t="str">
        <f t="shared" si="8"/>
        <v/>
      </c>
      <c r="Y30" s="8" t="str">
        <f t="shared" si="9"/>
        <v/>
      </c>
      <c r="Z30" s="8" t="str">
        <f>VLOOKUP(U30,Gender!$C$3:$D$454,2,FALSE)</f>
        <v>F</v>
      </c>
      <c r="AA30" s="8" t="str">
        <f t="shared" si="10"/>
        <v/>
      </c>
      <c r="AB30" s="8" t="str">
        <f t="shared" si="11"/>
        <v/>
      </c>
      <c r="AD30">
        <v>53</v>
      </c>
      <c r="AE30">
        <v>17</v>
      </c>
      <c r="AF30">
        <v>5</v>
      </c>
      <c r="AG30" s="8" t="str">
        <f t="shared" si="12"/>
        <v/>
      </c>
      <c r="AH30" s="8" t="str">
        <f t="shared" si="13"/>
        <v/>
      </c>
      <c r="AI30" s="8" t="str">
        <f>VLOOKUP(AD30,Gender!$C$3:$D$454,2,FALSE)</f>
        <v>F</v>
      </c>
      <c r="AJ30" s="8" t="str">
        <f t="shared" si="14"/>
        <v/>
      </c>
      <c r="AK30" s="8" t="str">
        <f t="shared" si="15"/>
        <v/>
      </c>
      <c r="AM30">
        <v>98</v>
      </c>
      <c r="AN30">
        <v>6</v>
      </c>
      <c r="AO30">
        <v>5</v>
      </c>
      <c r="AP30" s="8">
        <f t="shared" si="20"/>
        <v>20.354786371011357</v>
      </c>
      <c r="AQ30" s="8">
        <f t="shared" si="21"/>
        <v>6</v>
      </c>
      <c r="AR30" s="8" t="str">
        <f>VLOOKUP(AM30,Gender!$C$3:$D$454,2,FALSE)</f>
        <v>F</v>
      </c>
      <c r="AS30" s="8" t="str">
        <f t="shared" si="18"/>
        <v/>
      </c>
      <c r="AT30" s="8">
        <f t="shared" si="19"/>
        <v>5</v>
      </c>
    </row>
    <row r="31" spans="3:46" x14ac:dyDescent="0.25">
      <c r="C31" s="8">
        <v>18</v>
      </c>
      <c r="D31" s="8">
        <v>1</v>
      </c>
      <c r="E31" s="8">
        <v>1</v>
      </c>
      <c r="F31" s="8">
        <f t="shared" si="0"/>
        <v>0.23850730124391561</v>
      </c>
      <c r="G31" s="8">
        <f t="shared" si="1"/>
        <v>1</v>
      </c>
      <c r="H31" s="8" t="str">
        <f>VLOOKUP(C31,Gender!$C$3:$D$454,2,FALSE)</f>
        <v>M</v>
      </c>
      <c r="I31" s="8">
        <f t="shared" si="2"/>
        <v>1</v>
      </c>
      <c r="J31" s="8" t="str">
        <f t="shared" si="3"/>
        <v/>
      </c>
      <c r="L31" s="9">
        <v>23</v>
      </c>
      <c r="M31" s="9">
        <v>48</v>
      </c>
      <c r="N31" s="9">
        <v>2</v>
      </c>
      <c r="O31" s="8">
        <f t="shared" si="4"/>
        <v>2163.3315305570577</v>
      </c>
      <c r="P31" s="8">
        <f t="shared" si="5"/>
        <v>48</v>
      </c>
      <c r="Q31" s="8" t="str">
        <f>VLOOKUP(L31,Gender!$C$3:$D$454,2,FALSE)</f>
        <v>M</v>
      </c>
      <c r="R31" s="8">
        <f t="shared" si="6"/>
        <v>2</v>
      </c>
      <c r="S31" s="8" t="str">
        <f t="shared" si="7"/>
        <v/>
      </c>
      <c r="U31" s="9">
        <v>34</v>
      </c>
      <c r="V31" s="9">
        <v>6</v>
      </c>
      <c r="W31">
        <v>5</v>
      </c>
      <c r="X31" s="8" t="str">
        <f t="shared" si="8"/>
        <v/>
      </c>
      <c r="Y31" s="8" t="str">
        <f t="shared" si="9"/>
        <v/>
      </c>
      <c r="Z31" s="8" t="str">
        <f>VLOOKUP(U31,Gender!$C$3:$D$454,2,FALSE)</f>
        <v>M</v>
      </c>
      <c r="AA31" s="8" t="str">
        <f t="shared" si="10"/>
        <v/>
      </c>
      <c r="AB31" s="8" t="str">
        <f t="shared" si="11"/>
        <v/>
      </c>
      <c r="AD31">
        <v>56</v>
      </c>
      <c r="AE31">
        <v>23</v>
      </c>
      <c r="AF31">
        <v>4</v>
      </c>
      <c r="AG31" s="8">
        <f t="shared" si="12"/>
        <v>462.75013520822068</v>
      </c>
      <c r="AH31" s="8">
        <f t="shared" si="13"/>
        <v>23</v>
      </c>
      <c r="AI31" s="8" t="str">
        <f>VLOOKUP(AD31,Gender!$C$3:$D$454,2,FALSE)</f>
        <v>F</v>
      </c>
      <c r="AJ31" s="8" t="str">
        <f t="shared" si="14"/>
        <v/>
      </c>
      <c r="AK31" s="8">
        <f t="shared" si="15"/>
        <v>4</v>
      </c>
      <c r="AM31">
        <v>104</v>
      </c>
      <c r="AN31">
        <v>7</v>
      </c>
      <c r="AO31">
        <v>5</v>
      </c>
      <c r="AP31" s="8">
        <f t="shared" si="20"/>
        <v>30.378042184964848</v>
      </c>
      <c r="AQ31" s="8">
        <f t="shared" si="21"/>
        <v>7</v>
      </c>
      <c r="AR31" s="8" t="str">
        <f>VLOOKUP(AM31,Gender!$C$3:$D$454,2,FALSE)</f>
        <v>F</v>
      </c>
      <c r="AS31" s="8" t="str">
        <f t="shared" si="18"/>
        <v/>
      </c>
      <c r="AT31" s="8">
        <f t="shared" si="19"/>
        <v>5</v>
      </c>
    </row>
    <row r="32" spans="3:46" x14ac:dyDescent="0.25">
      <c r="C32" s="8">
        <v>19</v>
      </c>
      <c r="D32" s="8">
        <v>1</v>
      </c>
      <c r="E32" s="8">
        <v>1</v>
      </c>
      <c r="F32" s="8">
        <f t="shared" si="0"/>
        <v>0.23850730124391561</v>
      </c>
      <c r="G32" s="8">
        <f t="shared" si="1"/>
        <v>1</v>
      </c>
      <c r="H32" s="8" t="str">
        <f>VLOOKUP(C32,Gender!$C$3:$D$454,2,FALSE)</f>
        <v>F</v>
      </c>
      <c r="I32" s="8" t="str">
        <f t="shared" si="2"/>
        <v/>
      </c>
      <c r="J32" s="8">
        <f t="shared" si="3"/>
        <v>1</v>
      </c>
      <c r="L32" s="9">
        <v>25</v>
      </c>
      <c r="M32" s="9">
        <v>15</v>
      </c>
      <c r="N32" s="9">
        <v>5</v>
      </c>
      <c r="O32" s="8" t="str">
        <f t="shared" si="4"/>
        <v/>
      </c>
      <c r="P32" s="8" t="str">
        <f t="shared" si="5"/>
        <v/>
      </c>
      <c r="Q32" s="8" t="str">
        <f>VLOOKUP(L32,Gender!$C$3:$D$454,2,FALSE)</f>
        <v>F</v>
      </c>
      <c r="R32" s="8" t="str">
        <f t="shared" si="6"/>
        <v/>
      </c>
      <c r="S32" s="8" t="str">
        <f t="shared" si="7"/>
        <v/>
      </c>
      <c r="U32" s="9">
        <v>35</v>
      </c>
      <c r="V32" s="9">
        <v>8</v>
      </c>
      <c r="W32">
        <v>3</v>
      </c>
      <c r="X32" s="8">
        <f t="shared" si="8"/>
        <v>42.401297998918338</v>
      </c>
      <c r="Y32" s="8">
        <f t="shared" si="9"/>
        <v>8</v>
      </c>
      <c r="Z32" s="8" t="str">
        <f>VLOOKUP(U32,Gender!$C$3:$D$454,2,FALSE)</f>
        <v>M</v>
      </c>
      <c r="AA32" s="8">
        <f t="shared" si="10"/>
        <v>3</v>
      </c>
      <c r="AB32" s="8" t="str">
        <f t="shared" si="11"/>
        <v/>
      </c>
      <c r="AD32">
        <v>63</v>
      </c>
      <c r="AE32">
        <v>6</v>
      </c>
      <c r="AF32">
        <v>5</v>
      </c>
      <c r="AG32" s="8" t="str">
        <f t="shared" si="12"/>
        <v/>
      </c>
      <c r="AH32" s="8" t="str">
        <f t="shared" si="13"/>
        <v/>
      </c>
      <c r="AI32" s="8" t="str">
        <f>VLOOKUP(AD32,Gender!$C$3:$D$454,2,FALSE)</f>
        <v>M</v>
      </c>
      <c r="AJ32" s="8" t="str">
        <f t="shared" si="14"/>
        <v/>
      </c>
      <c r="AK32" s="8" t="str">
        <f t="shared" si="15"/>
        <v/>
      </c>
      <c r="AM32">
        <v>105</v>
      </c>
      <c r="AN32">
        <v>12</v>
      </c>
      <c r="AO32">
        <v>5</v>
      </c>
      <c r="AP32" s="8">
        <f t="shared" si="20"/>
        <v>110.49432125473231</v>
      </c>
      <c r="AQ32" s="8">
        <f t="shared" si="21"/>
        <v>12</v>
      </c>
      <c r="AR32" s="8" t="str">
        <f>VLOOKUP(AM32,Gender!$C$3:$D$454,2,FALSE)</f>
        <v>F</v>
      </c>
      <c r="AS32" s="8" t="str">
        <f t="shared" si="18"/>
        <v/>
      </c>
      <c r="AT32" s="8">
        <f t="shared" si="19"/>
        <v>5</v>
      </c>
    </row>
    <row r="33" spans="3:46" x14ac:dyDescent="0.25">
      <c r="C33" s="8">
        <v>20</v>
      </c>
      <c r="D33" s="8">
        <v>1</v>
      </c>
      <c r="E33" s="8">
        <v>1</v>
      </c>
      <c r="F33" s="8">
        <f t="shared" si="0"/>
        <v>0.23850730124391561</v>
      </c>
      <c r="G33" s="8">
        <f t="shared" si="1"/>
        <v>1</v>
      </c>
      <c r="H33" s="8" t="str">
        <f>VLOOKUP(C33,Gender!$C$3:$D$454,2,FALSE)</f>
        <v>F</v>
      </c>
      <c r="I33" s="8" t="str">
        <f t="shared" si="2"/>
        <v/>
      </c>
      <c r="J33" s="8">
        <f t="shared" si="3"/>
        <v>1</v>
      </c>
      <c r="L33" s="9">
        <v>26</v>
      </c>
      <c r="M33" s="9">
        <v>1</v>
      </c>
      <c r="N33" s="9">
        <v>2</v>
      </c>
      <c r="O33" s="8">
        <f t="shared" si="4"/>
        <v>0.23850730124391561</v>
      </c>
      <c r="P33" s="8">
        <f t="shared" si="5"/>
        <v>1</v>
      </c>
      <c r="Q33" s="8" t="str">
        <f>VLOOKUP(L33,Gender!$C$3:$D$454,2,FALSE)</f>
        <v>M</v>
      </c>
      <c r="R33" s="8">
        <f t="shared" si="6"/>
        <v>2</v>
      </c>
      <c r="S33" s="8" t="str">
        <f t="shared" si="7"/>
        <v/>
      </c>
      <c r="U33">
        <v>36</v>
      </c>
      <c r="V33">
        <v>44</v>
      </c>
      <c r="W33">
        <v>3</v>
      </c>
      <c r="X33" s="8">
        <f t="shared" si="8"/>
        <v>1807.2385073012438</v>
      </c>
      <c r="Y33" s="8">
        <f t="shared" si="9"/>
        <v>44</v>
      </c>
      <c r="Z33" s="8" t="str">
        <f>VLOOKUP(U33,Gender!$C$3:$D$454,2,FALSE)</f>
        <v>M</v>
      </c>
      <c r="AA33" s="8">
        <f t="shared" si="10"/>
        <v>3</v>
      </c>
      <c r="AB33" s="8" t="str">
        <f t="shared" si="11"/>
        <v/>
      </c>
      <c r="AD33">
        <v>71</v>
      </c>
      <c r="AE33">
        <v>1</v>
      </c>
      <c r="AF33">
        <v>4</v>
      </c>
      <c r="AG33" s="8">
        <f t="shared" si="12"/>
        <v>0.23850730124391561</v>
      </c>
      <c r="AH33" s="8">
        <f t="shared" si="13"/>
        <v>1</v>
      </c>
      <c r="AI33" s="8" t="str">
        <f>VLOOKUP(AD33,Gender!$C$3:$D$454,2,FALSE)</f>
        <v>M</v>
      </c>
      <c r="AJ33" s="8">
        <f t="shared" si="14"/>
        <v>4</v>
      </c>
      <c r="AK33" s="8" t="str">
        <f t="shared" si="15"/>
        <v/>
      </c>
      <c r="AM33">
        <v>128</v>
      </c>
      <c r="AN33">
        <v>3</v>
      </c>
      <c r="AO33">
        <v>5</v>
      </c>
      <c r="AP33" s="8">
        <f t="shared" si="20"/>
        <v>2.2850189291508922</v>
      </c>
      <c r="AQ33" s="8">
        <f t="shared" si="21"/>
        <v>3</v>
      </c>
      <c r="AR33" s="8" t="str">
        <f>VLOOKUP(AM33,Gender!$C$3:$D$454,2,FALSE)</f>
        <v>M</v>
      </c>
      <c r="AS33" s="8">
        <f t="shared" si="18"/>
        <v>5</v>
      </c>
      <c r="AT33" s="8" t="str">
        <f t="shared" si="19"/>
        <v/>
      </c>
    </row>
    <row r="34" spans="3:46" x14ac:dyDescent="0.25">
      <c r="C34" s="8">
        <v>21</v>
      </c>
      <c r="D34" s="8">
        <v>1</v>
      </c>
      <c r="E34" s="8">
        <v>1</v>
      </c>
      <c r="F34" s="8">
        <f t="shared" si="0"/>
        <v>0.23850730124391561</v>
      </c>
      <c r="G34" s="8">
        <f t="shared" si="1"/>
        <v>1</v>
      </c>
      <c r="H34" s="8" t="str">
        <f>VLOOKUP(C34,Gender!$C$3:$D$454,2,FALSE)</f>
        <v>F</v>
      </c>
      <c r="I34" s="8" t="str">
        <f t="shared" si="2"/>
        <v/>
      </c>
      <c r="J34" s="8">
        <f t="shared" si="3"/>
        <v>1</v>
      </c>
      <c r="L34" s="9">
        <v>27</v>
      </c>
      <c r="M34" s="9">
        <v>19</v>
      </c>
      <c r="N34" s="9">
        <v>3</v>
      </c>
      <c r="O34" s="8" t="str">
        <f t="shared" si="4"/>
        <v/>
      </c>
      <c r="P34" s="8" t="str">
        <f t="shared" si="5"/>
        <v/>
      </c>
      <c r="Q34" s="8" t="str">
        <f>VLOOKUP(L34,Gender!$C$3:$D$454,2,FALSE)</f>
        <v>F</v>
      </c>
      <c r="R34" s="8" t="str">
        <f t="shared" si="6"/>
        <v/>
      </c>
      <c r="S34" s="8" t="str">
        <f t="shared" si="7"/>
        <v/>
      </c>
      <c r="U34">
        <v>37</v>
      </c>
      <c r="V34">
        <v>52</v>
      </c>
      <c r="W34">
        <v>3</v>
      </c>
      <c r="X34" s="8">
        <f t="shared" si="8"/>
        <v>2551.4245538128716</v>
      </c>
      <c r="Y34" s="8">
        <f t="shared" si="9"/>
        <v>52</v>
      </c>
      <c r="Z34" s="8" t="str">
        <f>VLOOKUP(U34,Gender!$C$3:$D$454,2,FALSE)</f>
        <v>M</v>
      </c>
      <c r="AA34" s="8">
        <f t="shared" si="10"/>
        <v>3</v>
      </c>
      <c r="AB34" s="8" t="str">
        <f t="shared" si="11"/>
        <v/>
      </c>
      <c r="AD34">
        <v>76</v>
      </c>
      <c r="AE34">
        <v>3</v>
      </c>
      <c r="AF34">
        <v>4</v>
      </c>
      <c r="AG34" s="8">
        <f t="shared" si="12"/>
        <v>2.2850189291508922</v>
      </c>
      <c r="AH34" s="8">
        <f t="shared" si="13"/>
        <v>3</v>
      </c>
      <c r="AI34" s="8" t="str">
        <f>VLOOKUP(AD34,Gender!$C$3:$D$454,2,FALSE)</f>
        <v>M</v>
      </c>
      <c r="AJ34" s="8">
        <f t="shared" si="14"/>
        <v>4</v>
      </c>
      <c r="AK34" s="8" t="str">
        <f t="shared" si="15"/>
        <v/>
      </c>
      <c r="AM34">
        <v>138</v>
      </c>
      <c r="AN34">
        <v>27</v>
      </c>
      <c r="AO34">
        <v>5</v>
      </c>
      <c r="AP34" s="8">
        <f t="shared" si="20"/>
        <v>650.84315846403467</v>
      </c>
      <c r="AQ34" s="8">
        <f t="shared" si="21"/>
        <v>27</v>
      </c>
      <c r="AR34" s="8" t="str">
        <f>VLOOKUP(AM34,Gender!$C$3:$D$454,2,FALSE)</f>
        <v>M</v>
      </c>
      <c r="AS34" s="8">
        <f t="shared" si="18"/>
        <v>5</v>
      </c>
      <c r="AT34" s="8" t="str">
        <f t="shared" si="19"/>
        <v/>
      </c>
    </row>
    <row r="35" spans="3:46" x14ac:dyDescent="0.25">
      <c r="C35" s="8">
        <v>22</v>
      </c>
      <c r="D35" s="8">
        <v>2</v>
      </c>
      <c r="E35" s="8">
        <v>1</v>
      </c>
      <c r="F35" s="8">
        <f t="shared" si="0"/>
        <v>0.26176311519740403</v>
      </c>
      <c r="G35" s="8">
        <f t="shared" si="1"/>
        <v>2</v>
      </c>
      <c r="H35" s="8" t="str">
        <f>VLOOKUP(C35,Gender!$C$3:$D$454,2,FALSE)</f>
        <v>M</v>
      </c>
      <c r="I35" s="8">
        <f t="shared" si="2"/>
        <v>1</v>
      </c>
      <c r="J35" s="8" t="str">
        <f t="shared" si="3"/>
        <v/>
      </c>
      <c r="L35" s="9">
        <v>28</v>
      </c>
      <c r="M35" s="9">
        <v>1</v>
      </c>
      <c r="N35" s="9">
        <v>2</v>
      </c>
      <c r="O35" s="8">
        <f t="shared" si="4"/>
        <v>0.23850730124391561</v>
      </c>
      <c r="P35" s="8">
        <f t="shared" si="5"/>
        <v>1</v>
      </c>
      <c r="Q35" s="8" t="str">
        <f>VLOOKUP(L35,Gender!$C$3:$D$454,2,FALSE)</f>
        <v>M</v>
      </c>
      <c r="R35" s="8">
        <f t="shared" si="6"/>
        <v>2</v>
      </c>
      <c r="S35" s="8" t="str">
        <f t="shared" si="7"/>
        <v/>
      </c>
      <c r="U35">
        <v>40</v>
      </c>
      <c r="V35">
        <v>98</v>
      </c>
      <c r="W35">
        <v>3</v>
      </c>
      <c r="X35" s="8">
        <f t="shared" si="8"/>
        <v>9314.4943212547314</v>
      </c>
      <c r="Y35" s="8">
        <f t="shared" si="9"/>
        <v>98</v>
      </c>
      <c r="Z35" s="8" t="str">
        <f>VLOOKUP(U35,Gender!$C$3:$D$454,2,FALSE)</f>
        <v>M</v>
      </c>
      <c r="AA35" s="8">
        <f t="shared" si="10"/>
        <v>3</v>
      </c>
      <c r="AB35" s="8" t="str">
        <f t="shared" si="11"/>
        <v/>
      </c>
      <c r="AD35">
        <v>93</v>
      </c>
      <c r="AE35">
        <v>10</v>
      </c>
      <c r="AF35">
        <v>5</v>
      </c>
      <c r="AG35" s="8" t="str">
        <f t="shared" si="12"/>
        <v/>
      </c>
      <c r="AH35" s="8" t="str">
        <f t="shared" si="13"/>
        <v/>
      </c>
      <c r="AI35" s="8" t="str">
        <f>VLOOKUP(AD35,Gender!$C$3:$D$454,2,FALSE)</f>
        <v>M</v>
      </c>
      <c r="AJ35" s="8" t="str">
        <f t="shared" si="14"/>
        <v/>
      </c>
      <c r="AK35" s="8" t="str">
        <f t="shared" si="15"/>
        <v/>
      </c>
      <c r="AM35">
        <v>143</v>
      </c>
      <c r="AN35">
        <v>7</v>
      </c>
      <c r="AO35">
        <v>5</v>
      </c>
      <c r="AP35" s="8">
        <f t="shared" si="20"/>
        <v>30.378042184964848</v>
      </c>
      <c r="AQ35" s="8">
        <f t="shared" si="21"/>
        <v>7</v>
      </c>
      <c r="AR35" s="8" t="str">
        <f>VLOOKUP(AM35,Gender!$C$3:$D$454,2,FALSE)</f>
        <v>F</v>
      </c>
      <c r="AS35" s="8" t="str">
        <f t="shared" si="18"/>
        <v/>
      </c>
      <c r="AT35" s="8">
        <f t="shared" si="19"/>
        <v>5</v>
      </c>
    </row>
    <row r="36" spans="3:46" x14ac:dyDescent="0.25">
      <c r="C36" s="8">
        <v>23</v>
      </c>
      <c r="D36" s="8">
        <v>1</v>
      </c>
      <c r="E36" s="8">
        <v>1</v>
      </c>
      <c r="F36" s="8">
        <f t="shared" si="0"/>
        <v>0.23850730124391561</v>
      </c>
      <c r="G36" s="8">
        <f t="shared" si="1"/>
        <v>1</v>
      </c>
      <c r="H36" s="8" t="str">
        <f>VLOOKUP(C36,Gender!$C$3:$D$454,2,FALSE)</f>
        <v>M</v>
      </c>
      <c r="I36" s="8">
        <f t="shared" si="2"/>
        <v>1</v>
      </c>
      <c r="J36" s="8" t="str">
        <f t="shared" si="3"/>
        <v/>
      </c>
      <c r="L36" s="9">
        <v>29</v>
      </c>
      <c r="M36" s="9">
        <v>20</v>
      </c>
      <c r="N36">
        <v>2</v>
      </c>
      <c r="O36" s="8">
        <f t="shared" si="4"/>
        <v>342.68036776636023</v>
      </c>
      <c r="P36" s="8">
        <f t="shared" si="5"/>
        <v>20</v>
      </c>
      <c r="Q36" s="8" t="str">
        <f>VLOOKUP(L36,Gender!$C$3:$D$454,2,FALSE)</f>
        <v>M</v>
      </c>
      <c r="R36" s="8">
        <f t="shared" si="6"/>
        <v>2</v>
      </c>
      <c r="S36" s="8" t="str">
        <f t="shared" si="7"/>
        <v/>
      </c>
      <c r="U36">
        <v>43</v>
      </c>
      <c r="V36">
        <v>80</v>
      </c>
      <c r="W36">
        <v>3</v>
      </c>
      <c r="X36" s="8">
        <f t="shared" si="8"/>
        <v>6164.0757166035692</v>
      </c>
      <c r="Y36" s="8">
        <f t="shared" si="9"/>
        <v>80</v>
      </c>
      <c r="Z36" s="8" t="str">
        <f>VLOOKUP(U36,Gender!$C$3:$D$454,2,FALSE)</f>
        <v>M</v>
      </c>
      <c r="AA36" s="8">
        <f t="shared" si="10"/>
        <v>3</v>
      </c>
      <c r="AB36" s="8" t="str">
        <f t="shared" si="11"/>
        <v/>
      </c>
      <c r="AD36">
        <v>94</v>
      </c>
      <c r="AE36">
        <v>18</v>
      </c>
      <c r="AF36">
        <v>5</v>
      </c>
      <c r="AG36" s="8" t="str">
        <f t="shared" si="12"/>
        <v/>
      </c>
      <c r="AH36" s="8" t="str">
        <f t="shared" si="13"/>
        <v/>
      </c>
      <c r="AI36" s="8" t="str">
        <f>VLOOKUP(AD36,Gender!$C$3:$D$454,2,FALSE)</f>
        <v>M</v>
      </c>
      <c r="AJ36" s="8" t="str">
        <f t="shared" si="14"/>
        <v/>
      </c>
      <c r="AK36" s="8" t="str">
        <f t="shared" si="15"/>
        <v/>
      </c>
      <c r="AM36">
        <v>157</v>
      </c>
      <c r="AN36">
        <v>69</v>
      </c>
      <c r="AO36">
        <v>5</v>
      </c>
      <c r="AP36" s="8">
        <f t="shared" si="20"/>
        <v>4557.8199026500806</v>
      </c>
      <c r="AQ36" s="8">
        <f t="shared" si="21"/>
        <v>69</v>
      </c>
      <c r="AR36" s="8" t="str">
        <f>VLOOKUP(AM36,Gender!$C$3:$D$454,2,FALSE)</f>
        <v>M</v>
      </c>
      <c r="AS36" s="8">
        <f t="shared" si="18"/>
        <v>5</v>
      </c>
      <c r="AT36" s="8" t="str">
        <f t="shared" si="19"/>
        <v/>
      </c>
    </row>
    <row r="37" spans="3:46" x14ac:dyDescent="0.25">
      <c r="C37" s="8">
        <v>24</v>
      </c>
      <c r="D37" s="8">
        <v>3</v>
      </c>
      <c r="E37" s="8">
        <v>1</v>
      </c>
      <c r="F37" s="8">
        <f t="shared" si="0"/>
        <v>2.2850189291508922</v>
      </c>
      <c r="G37" s="8">
        <f t="shared" si="1"/>
        <v>3</v>
      </c>
      <c r="H37" s="8" t="str">
        <f>VLOOKUP(C37,Gender!$C$3:$D$454,2,FALSE)</f>
        <v>M</v>
      </c>
      <c r="I37" s="8">
        <f t="shared" si="2"/>
        <v>1</v>
      </c>
      <c r="J37" s="8" t="str">
        <f t="shared" si="3"/>
        <v/>
      </c>
      <c r="L37" s="9">
        <v>30</v>
      </c>
      <c r="M37" s="9">
        <v>43</v>
      </c>
      <c r="N37">
        <v>3</v>
      </c>
      <c r="O37" s="8" t="str">
        <f t="shared" si="4"/>
        <v/>
      </c>
      <c r="P37" s="8" t="str">
        <f t="shared" si="5"/>
        <v/>
      </c>
      <c r="Q37" s="8" t="str">
        <f>VLOOKUP(L37,Gender!$C$3:$D$454,2,FALSE)</f>
        <v>F</v>
      </c>
      <c r="R37" s="8" t="str">
        <f t="shared" si="6"/>
        <v/>
      </c>
      <c r="S37" s="8" t="str">
        <f t="shared" si="7"/>
        <v/>
      </c>
      <c r="U37">
        <v>44</v>
      </c>
      <c r="V37">
        <v>47</v>
      </c>
      <c r="W37">
        <v>5</v>
      </c>
      <c r="X37" s="8" t="str">
        <f t="shared" si="8"/>
        <v/>
      </c>
      <c r="Y37" s="8" t="str">
        <f t="shared" si="9"/>
        <v/>
      </c>
      <c r="Z37" s="8" t="str">
        <f>VLOOKUP(U37,Gender!$C$3:$D$454,2,FALSE)</f>
        <v>M</v>
      </c>
      <c r="AA37" s="8" t="str">
        <f t="shared" si="10"/>
        <v/>
      </c>
      <c r="AB37" s="8" t="str">
        <f t="shared" si="11"/>
        <v/>
      </c>
      <c r="AD37">
        <v>98</v>
      </c>
      <c r="AE37">
        <v>6</v>
      </c>
      <c r="AF37">
        <v>5</v>
      </c>
      <c r="AG37" s="8" t="str">
        <f t="shared" si="12"/>
        <v/>
      </c>
      <c r="AH37" s="8" t="str">
        <f t="shared" si="13"/>
        <v/>
      </c>
      <c r="AI37" s="8" t="str">
        <f>VLOOKUP(AD37,Gender!$C$3:$D$454,2,FALSE)</f>
        <v>F</v>
      </c>
      <c r="AJ37" s="8" t="str">
        <f t="shared" si="14"/>
        <v/>
      </c>
      <c r="AK37" s="8" t="str">
        <f t="shared" si="15"/>
        <v/>
      </c>
      <c r="AM37">
        <v>159</v>
      </c>
      <c r="AN37">
        <v>68</v>
      </c>
      <c r="AO37">
        <v>5</v>
      </c>
      <c r="AP37" s="8">
        <f t="shared" si="20"/>
        <v>4423.7966468361274</v>
      </c>
      <c r="AQ37" s="8">
        <f t="shared" si="21"/>
        <v>68</v>
      </c>
      <c r="AR37" s="8" t="str">
        <f>VLOOKUP(AM37,Gender!$C$3:$D$454,2,FALSE)</f>
        <v>M</v>
      </c>
      <c r="AS37" s="8">
        <f t="shared" si="18"/>
        <v>5</v>
      </c>
      <c r="AT37" s="8" t="str">
        <f t="shared" si="19"/>
        <v/>
      </c>
    </row>
    <row r="38" spans="3:46" x14ac:dyDescent="0.25">
      <c r="C38" s="8">
        <v>25</v>
      </c>
      <c r="D38" s="8">
        <v>1</v>
      </c>
      <c r="E38" s="8">
        <v>1</v>
      </c>
      <c r="F38" s="8">
        <f t="shared" si="0"/>
        <v>0.23850730124391561</v>
      </c>
      <c r="G38" s="8">
        <f t="shared" si="1"/>
        <v>1</v>
      </c>
      <c r="H38" s="8" t="str">
        <f>VLOOKUP(C38,Gender!$C$3:$D$454,2,FALSE)</f>
        <v>F</v>
      </c>
      <c r="I38" s="8" t="str">
        <f t="shared" si="2"/>
        <v/>
      </c>
      <c r="J38" s="8">
        <f t="shared" si="3"/>
        <v>1</v>
      </c>
      <c r="L38">
        <v>31</v>
      </c>
      <c r="M38">
        <v>23</v>
      </c>
      <c r="N38">
        <v>3</v>
      </c>
      <c r="O38" s="8" t="str">
        <f t="shared" si="4"/>
        <v/>
      </c>
      <c r="P38" s="8" t="str">
        <f t="shared" si="5"/>
        <v/>
      </c>
      <c r="Q38" s="8" t="str">
        <f>VLOOKUP(L38,Gender!$C$3:$D$454,2,FALSE)</f>
        <v>M</v>
      </c>
      <c r="R38" s="8" t="str">
        <f t="shared" si="6"/>
        <v/>
      </c>
      <c r="S38" s="8" t="str">
        <f t="shared" si="7"/>
        <v/>
      </c>
      <c r="U38">
        <v>45</v>
      </c>
      <c r="V38">
        <v>48</v>
      </c>
      <c r="W38">
        <v>4</v>
      </c>
      <c r="X38" s="8" t="str">
        <f t="shared" si="8"/>
        <v/>
      </c>
      <c r="Y38" s="8" t="str">
        <f t="shared" si="9"/>
        <v/>
      </c>
      <c r="Z38" s="8" t="str">
        <f>VLOOKUP(U38,Gender!$C$3:$D$454,2,FALSE)</f>
        <v>M</v>
      </c>
      <c r="AA38" s="8" t="str">
        <f t="shared" si="10"/>
        <v/>
      </c>
      <c r="AB38" s="8" t="str">
        <f t="shared" si="11"/>
        <v/>
      </c>
      <c r="AD38">
        <v>104</v>
      </c>
      <c r="AE38">
        <v>7</v>
      </c>
      <c r="AF38">
        <v>5</v>
      </c>
      <c r="AG38" s="8" t="str">
        <f t="shared" si="12"/>
        <v/>
      </c>
      <c r="AH38" s="8" t="str">
        <f t="shared" si="13"/>
        <v/>
      </c>
      <c r="AI38" s="8" t="str">
        <f>VLOOKUP(AD38,Gender!$C$3:$D$454,2,FALSE)</f>
        <v>F</v>
      </c>
      <c r="AJ38" s="8" t="str">
        <f t="shared" si="14"/>
        <v/>
      </c>
      <c r="AK38" s="8" t="str">
        <f t="shared" si="15"/>
        <v/>
      </c>
      <c r="AM38">
        <v>163</v>
      </c>
      <c r="AN38">
        <v>6</v>
      </c>
      <c r="AO38">
        <v>5</v>
      </c>
      <c r="AP38" s="8">
        <f t="shared" si="20"/>
        <v>20.354786371011357</v>
      </c>
      <c r="AQ38" s="8">
        <f t="shared" si="21"/>
        <v>6</v>
      </c>
      <c r="AR38" s="8" t="str">
        <f>VLOOKUP(AM38,Gender!$C$3:$D$454,2,FALSE)</f>
        <v>M</v>
      </c>
      <c r="AS38" s="8">
        <f t="shared" si="18"/>
        <v>5</v>
      </c>
      <c r="AT38" s="8" t="str">
        <f t="shared" si="19"/>
        <v/>
      </c>
    </row>
    <row r="39" spans="3:46" x14ac:dyDescent="0.25">
      <c r="C39" s="8">
        <v>26</v>
      </c>
      <c r="D39" s="8">
        <v>1</v>
      </c>
      <c r="E39" s="8">
        <v>2</v>
      </c>
      <c r="F39" s="8" t="str">
        <f t="shared" si="0"/>
        <v/>
      </c>
      <c r="G39" s="8" t="str">
        <f t="shared" si="1"/>
        <v/>
      </c>
      <c r="H39" s="8" t="str">
        <f>VLOOKUP(C39,Gender!$C$3:$D$454,2,FALSE)</f>
        <v>M</v>
      </c>
      <c r="I39" s="8" t="str">
        <f t="shared" si="2"/>
        <v/>
      </c>
      <c r="J39" s="8" t="str">
        <f t="shared" si="3"/>
        <v/>
      </c>
      <c r="L39" s="13">
        <v>32</v>
      </c>
      <c r="M39" s="13">
        <v>14</v>
      </c>
      <c r="N39">
        <v>5</v>
      </c>
      <c r="O39" s="8" t="str">
        <f t="shared" si="4"/>
        <v/>
      </c>
      <c r="P39" s="8" t="str">
        <f t="shared" si="5"/>
        <v/>
      </c>
      <c r="Q39" s="8" t="str">
        <f>VLOOKUP(L39,Gender!$C$3:$D$454,2,FALSE)</f>
        <v>F</v>
      </c>
      <c r="R39" s="8" t="str">
        <f t="shared" si="6"/>
        <v/>
      </c>
      <c r="S39" s="8" t="str">
        <f t="shared" si="7"/>
        <v/>
      </c>
      <c r="U39">
        <v>48</v>
      </c>
      <c r="V39">
        <v>44</v>
      </c>
      <c r="W39">
        <v>5</v>
      </c>
      <c r="X39" s="8" t="str">
        <f t="shared" si="8"/>
        <v/>
      </c>
      <c r="Y39" s="8" t="str">
        <f t="shared" si="9"/>
        <v/>
      </c>
      <c r="Z39" s="8" t="str">
        <f>VLOOKUP(U39,Gender!$C$3:$D$454,2,FALSE)</f>
        <v>M</v>
      </c>
      <c r="AA39" s="8" t="str">
        <f t="shared" si="10"/>
        <v/>
      </c>
      <c r="AB39" s="8" t="str">
        <f t="shared" si="11"/>
        <v/>
      </c>
      <c r="AD39">
        <v>105</v>
      </c>
      <c r="AE39">
        <v>12</v>
      </c>
      <c r="AF39">
        <v>5</v>
      </c>
      <c r="AG39" s="8" t="str">
        <f t="shared" si="12"/>
        <v/>
      </c>
      <c r="AH39" s="8" t="str">
        <f t="shared" si="13"/>
        <v/>
      </c>
      <c r="AI39" s="8" t="str">
        <f>VLOOKUP(AD39,Gender!$C$3:$D$454,2,FALSE)</f>
        <v>F</v>
      </c>
      <c r="AJ39" s="8" t="str">
        <f t="shared" si="14"/>
        <v/>
      </c>
      <c r="AK39" s="8" t="str">
        <f t="shared" si="15"/>
        <v/>
      </c>
      <c r="AM39">
        <v>167</v>
      </c>
      <c r="AN39">
        <v>35</v>
      </c>
      <c r="AO39">
        <v>5</v>
      </c>
      <c r="AP39" s="8">
        <f t="shared" si="20"/>
        <v>1123.0292049756624</v>
      </c>
      <c r="AQ39" s="8">
        <f t="shared" si="21"/>
        <v>35</v>
      </c>
      <c r="AR39" s="8" t="str">
        <f>VLOOKUP(AM39,Gender!$C$3:$D$454,2,FALSE)</f>
        <v>M</v>
      </c>
      <c r="AS39" s="8">
        <f t="shared" si="18"/>
        <v>5</v>
      </c>
      <c r="AT39" s="8" t="str">
        <f t="shared" si="19"/>
        <v/>
      </c>
    </row>
    <row r="40" spans="3:46" x14ac:dyDescent="0.25">
      <c r="C40" s="8">
        <v>27</v>
      </c>
      <c r="D40" s="8">
        <v>1</v>
      </c>
      <c r="E40" s="8">
        <v>1</v>
      </c>
      <c r="F40" s="8">
        <f t="shared" si="0"/>
        <v>0.23850730124391561</v>
      </c>
      <c r="G40" s="8">
        <f t="shared" si="1"/>
        <v>1</v>
      </c>
      <c r="H40" s="8" t="str">
        <f>VLOOKUP(C40,Gender!$C$3:$D$454,2,FALSE)</f>
        <v>F</v>
      </c>
      <c r="I40" s="8" t="str">
        <f t="shared" si="2"/>
        <v/>
      </c>
      <c r="J40" s="8">
        <f t="shared" si="3"/>
        <v>1</v>
      </c>
      <c r="L40" s="13">
        <v>33</v>
      </c>
      <c r="M40" s="13">
        <v>1</v>
      </c>
      <c r="N40">
        <v>2</v>
      </c>
      <c r="O40" s="8">
        <f t="shared" si="4"/>
        <v>0.23850730124391561</v>
      </c>
      <c r="P40" s="8">
        <f t="shared" si="5"/>
        <v>1</v>
      </c>
      <c r="Q40" s="8" t="str">
        <f>VLOOKUP(L40,Gender!$C$3:$D$454,2,FALSE)</f>
        <v>M</v>
      </c>
      <c r="R40" s="8">
        <f t="shared" si="6"/>
        <v>2</v>
      </c>
      <c r="S40" s="8" t="str">
        <f t="shared" si="7"/>
        <v/>
      </c>
      <c r="U40">
        <v>52</v>
      </c>
      <c r="V40">
        <v>12</v>
      </c>
      <c r="W40">
        <v>4</v>
      </c>
      <c r="X40" s="8" t="str">
        <f t="shared" si="8"/>
        <v/>
      </c>
      <c r="Y40" s="8" t="str">
        <f t="shared" si="9"/>
        <v/>
      </c>
      <c r="Z40" s="8" t="str">
        <f>VLOOKUP(U40,Gender!$C$3:$D$454,2,FALSE)</f>
        <v>F</v>
      </c>
      <c r="AA40" s="8" t="str">
        <f t="shared" si="10"/>
        <v/>
      </c>
      <c r="AB40" s="8" t="str">
        <f t="shared" si="11"/>
        <v/>
      </c>
      <c r="AD40">
        <v>114</v>
      </c>
      <c r="AE40">
        <v>27</v>
      </c>
      <c r="AF40">
        <v>4</v>
      </c>
      <c r="AG40" s="8">
        <f t="shared" si="12"/>
        <v>650.84315846403467</v>
      </c>
      <c r="AH40" s="8">
        <f t="shared" si="13"/>
        <v>27</v>
      </c>
      <c r="AI40" s="8" t="str">
        <f>VLOOKUP(AD40,Gender!$C$3:$D$454,2,FALSE)</f>
        <v>M</v>
      </c>
      <c r="AJ40" s="8">
        <f t="shared" si="14"/>
        <v>4</v>
      </c>
      <c r="AK40" s="8" t="str">
        <f t="shared" si="15"/>
        <v/>
      </c>
      <c r="AM40">
        <v>181</v>
      </c>
      <c r="AN40">
        <v>105</v>
      </c>
      <c r="AO40">
        <v>5</v>
      </c>
      <c r="AP40" s="8">
        <f t="shared" si="20"/>
        <v>10714.657111952407</v>
      </c>
      <c r="AQ40" s="8">
        <f t="shared" si="21"/>
        <v>105</v>
      </c>
      <c r="AR40" s="8" t="str">
        <f>VLOOKUP(AM40,Gender!$C$3:$D$454,2,FALSE)</f>
        <v>M</v>
      </c>
      <c r="AS40" s="8">
        <f t="shared" si="18"/>
        <v>5</v>
      </c>
      <c r="AT40" s="8" t="str">
        <f t="shared" si="19"/>
        <v/>
      </c>
    </row>
    <row r="41" spans="3:46" x14ac:dyDescent="0.25">
      <c r="C41" s="3">
        <v>28</v>
      </c>
      <c r="D41" s="8">
        <v>1</v>
      </c>
      <c r="E41" s="8">
        <v>2</v>
      </c>
      <c r="F41" s="8" t="str">
        <f t="shared" si="0"/>
        <v/>
      </c>
      <c r="G41" s="8" t="str">
        <f t="shared" si="1"/>
        <v/>
      </c>
      <c r="H41" s="8" t="str">
        <f>VLOOKUP(C41,Gender!$C$3:$D$454,2,FALSE)</f>
        <v>M</v>
      </c>
      <c r="I41" s="8" t="str">
        <f t="shared" si="2"/>
        <v/>
      </c>
      <c r="J41" s="8" t="str">
        <f t="shared" si="3"/>
        <v/>
      </c>
      <c r="L41">
        <v>34</v>
      </c>
      <c r="M41">
        <v>6</v>
      </c>
      <c r="N41">
        <v>5</v>
      </c>
      <c r="O41" s="8" t="str">
        <f t="shared" si="4"/>
        <v/>
      </c>
      <c r="P41" s="8" t="str">
        <f t="shared" si="5"/>
        <v/>
      </c>
      <c r="Q41" s="8" t="str">
        <f>VLOOKUP(L41,Gender!$C$3:$D$454,2,FALSE)</f>
        <v>M</v>
      </c>
      <c r="R41" s="8" t="str">
        <f t="shared" si="6"/>
        <v/>
      </c>
      <c r="S41" s="8" t="str">
        <f t="shared" si="7"/>
        <v/>
      </c>
      <c r="U41">
        <v>53</v>
      </c>
      <c r="V41">
        <v>17</v>
      </c>
      <c r="W41">
        <v>5</v>
      </c>
      <c r="X41" s="8" t="str">
        <f t="shared" si="8"/>
        <v/>
      </c>
      <c r="Y41" s="8" t="str">
        <f t="shared" si="9"/>
        <v/>
      </c>
      <c r="Z41" s="8" t="str">
        <f>VLOOKUP(U41,Gender!$C$3:$D$454,2,FALSE)</f>
        <v>F</v>
      </c>
      <c r="AA41" s="8" t="str">
        <f t="shared" si="10"/>
        <v/>
      </c>
      <c r="AB41" s="8" t="str">
        <f t="shared" si="11"/>
        <v/>
      </c>
      <c r="AD41">
        <v>119</v>
      </c>
      <c r="AE41">
        <v>13</v>
      </c>
      <c r="AF41">
        <v>4</v>
      </c>
      <c r="AG41" s="8">
        <f t="shared" si="12"/>
        <v>132.5175770686858</v>
      </c>
      <c r="AH41" s="8">
        <f t="shared" si="13"/>
        <v>13</v>
      </c>
      <c r="AI41" s="8" t="str">
        <f>VLOOKUP(AD41,Gender!$C$3:$D$454,2,FALSE)</f>
        <v>M</v>
      </c>
      <c r="AJ41" s="8">
        <f t="shared" si="14"/>
        <v>4</v>
      </c>
      <c r="AK41" s="8" t="str">
        <f t="shared" si="15"/>
        <v/>
      </c>
      <c r="AM41">
        <v>195</v>
      </c>
      <c r="AN41">
        <v>8</v>
      </c>
      <c r="AO41">
        <v>5</v>
      </c>
      <c r="AP41" s="8">
        <f t="shared" si="20"/>
        <v>42.401297998918338</v>
      </c>
      <c r="AQ41" s="8">
        <f t="shared" si="21"/>
        <v>8</v>
      </c>
      <c r="AR41" s="8" t="str">
        <f>VLOOKUP(AM41,Gender!$C$3:$D$454,2,FALSE)</f>
        <v>M</v>
      </c>
      <c r="AS41" s="8">
        <f t="shared" si="18"/>
        <v>5</v>
      </c>
      <c r="AT41" s="8" t="str">
        <f t="shared" si="19"/>
        <v/>
      </c>
    </row>
    <row r="42" spans="3:46" x14ac:dyDescent="0.25">
      <c r="C42" s="3">
        <v>29</v>
      </c>
      <c r="D42" s="8">
        <v>2</v>
      </c>
      <c r="E42" s="8">
        <v>1</v>
      </c>
      <c r="F42" s="8">
        <f t="shared" si="0"/>
        <v>0.26176311519740403</v>
      </c>
      <c r="G42" s="8">
        <f t="shared" si="1"/>
        <v>2</v>
      </c>
      <c r="H42" s="8" t="str">
        <f>VLOOKUP(C42,Gender!$C$3:$D$454,2,FALSE)</f>
        <v>M</v>
      </c>
      <c r="I42" s="8">
        <f t="shared" si="2"/>
        <v>1</v>
      </c>
      <c r="J42" s="8" t="str">
        <f t="shared" si="3"/>
        <v/>
      </c>
      <c r="L42">
        <v>35</v>
      </c>
      <c r="M42">
        <v>8</v>
      </c>
      <c r="N42">
        <v>3</v>
      </c>
      <c r="O42" s="8" t="str">
        <f t="shared" si="4"/>
        <v/>
      </c>
      <c r="P42" s="8" t="str">
        <f t="shared" si="5"/>
        <v/>
      </c>
      <c r="Q42" s="8" t="str">
        <f>VLOOKUP(L42,Gender!$C$3:$D$454,2,FALSE)</f>
        <v>M</v>
      </c>
      <c r="R42" s="8" t="str">
        <f t="shared" si="6"/>
        <v/>
      </c>
      <c r="S42" s="8" t="str">
        <f t="shared" si="7"/>
        <v/>
      </c>
      <c r="U42">
        <v>56</v>
      </c>
      <c r="V42">
        <v>23</v>
      </c>
      <c r="W42">
        <v>4</v>
      </c>
      <c r="X42" s="8" t="str">
        <f t="shared" si="8"/>
        <v/>
      </c>
      <c r="Y42" s="8" t="str">
        <f t="shared" si="9"/>
        <v/>
      </c>
      <c r="Z42" s="8" t="str">
        <f>VLOOKUP(U42,Gender!$C$3:$D$454,2,FALSE)</f>
        <v>F</v>
      </c>
      <c r="AA42" s="8" t="str">
        <f t="shared" si="10"/>
        <v/>
      </c>
      <c r="AB42" s="8" t="str">
        <f t="shared" si="11"/>
        <v/>
      </c>
      <c r="AD42">
        <v>128</v>
      </c>
      <c r="AE42">
        <v>3</v>
      </c>
      <c r="AF42">
        <v>5</v>
      </c>
      <c r="AG42" s="8" t="str">
        <f t="shared" si="12"/>
        <v/>
      </c>
      <c r="AH42" s="8" t="str">
        <f t="shared" si="13"/>
        <v/>
      </c>
      <c r="AI42" s="8" t="str">
        <f>VLOOKUP(AD42,Gender!$C$3:$D$454,2,FALSE)</f>
        <v>M</v>
      </c>
      <c r="AJ42" s="8" t="str">
        <f t="shared" si="14"/>
        <v/>
      </c>
      <c r="AK42" s="8" t="str">
        <f t="shared" si="15"/>
        <v/>
      </c>
      <c r="AM42">
        <v>201</v>
      </c>
      <c r="AN42">
        <v>13</v>
      </c>
      <c r="AO42">
        <v>5</v>
      </c>
      <c r="AP42" s="8">
        <f t="shared" si="20"/>
        <v>132.5175770686858</v>
      </c>
      <c r="AQ42" s="8">
        <f t="shared" si="21"/>
        <v>13</v>
      </c>
      <c r="AR42" s="8" t="str">
        <f>VLOOKUP(AM42,Gender!$C$3:$D$454,2,FALSE)</f>
        <v>F</v>
      </c>
      <c r="AS42" s="8" t="str">
        <f t="shared" si="18"/>
        <v/>
      </c>
      <c r="AT42" s="8">
        <f t="shared" si="19"/>
        <v>5</v>
      </c>
    </row>
    <row r="43" spans="3:46" x14ac:dyDescent="0.25">
      <c r="C43" s="2">
        <v>30</v>
      </c>
      <c r="D43" s="2">
        <v>1</v>
      </c>
      <c r="E43">
        <v>1</v>
      </c>
      <c r="F43" s="8">
        <f t="shared" si="0"/>
        <v>0.23850730124391561</v>
      </c>
      <c r="H43" s="8" t="str">
        <f>VLOOKUP(C43,Gender!$C$3:$D$454,2,FALSE)</f>
        <v>F</v>
      </c>
      <c r="I43" s="8" t="str">
        <f t="shared" si="2"/>
        <v/>
      </c>
      <c r="J43" s="8">
        <f t="shared" si="3"/>
        <v>1</v>
      </c>
      <c r="L43">
        <v>36</v>
      </c>
      <c r="M43">
        <v>44</v>
      </c>
      <c r="N43">
        <v>3</v>
      </c>
      <c r="O43" s="8" t="str">
        <f t="shared" si="4"/>
        <v/>
      </c>
      <c r="P43" s="8" t="str">
        <f t="shared" si="5"/>
        <v/>
      </c>
      <c r="Q43" s="8" t="str">
        <f>VLOOKUP(L43,Gender!$C$3:$D$454,2,FALSE)</f>
        <v>M</v>
      </c>
      <c r="R43" s="8" t="str">
        <f t="shared" si="6"/>
        <v/>
      </c>
      <c r="S43" s="8" t="str">
        <f t="shared" si="7"/>
        <v/>
      </c>
      <c r="U43">
        <v>58</v>
      </c>
      <c r="V43">
        <v>1</v>
      </c>
      <c r="W43">
        <v>3</v>
      </c>
      <c r="X43" s="8">
        <f t="shared" si="8"/>
        <v>0.23850730124391561</v>
      </c>
      <c r="Y43" s="8">
        <f t="shared" si="9"/>
        <v>1</v>
      </c>
      <c r="Z43" s="8" t="str">
        <f>VLOOKUP(U43,Gender!$C$3:$D$454,2,FALSE)</f>
        <v>M</v>
      </c>
      <c r="AA43" s="8">
        <f t="shared" si="10"/>
        <v>3</v>
      </c>
      <c r="AB43" s="8" t="str">
        <f t="shared" si="11"/>
        <v/>
      </c>
      <c r="AD43">
        <v>131</v>
      </c>
      <c r="AE43">
        <v>112</v>
      </c>
      <c r="AF43">
        <v>4</v>
      </c>
      <c r="AG43" s="8">
        <f t="shared" si="12"/>
        <v>12212.819902650081</v>
      </c>
      <c r="AH43" s="8">
        <f t="shared" si="13"/>
        <v>112</v>
      </c>
      <c r="AI43" s="8" t="str">
        <f>VLOOKUP(AD43,Gender!$C$3:$D$454,2,FALSE)</f>
        <v>M</v>
      </c>
      <c r="AJ43" s="8">
        <f t="shared" si="14"/>
        <v>4</v>
      </c>
      <c r="AK43" s="8" t="str">
        <f t="shared" si="15"/>
        <v/>
      </c>
      <c r="AM43">
        <v>213</v>
      </c>
      <c r="AN43">
        <v>10</v>
      </c>
      <c r="AO43">
        <v>5</v>
      </c>
      <c r="AP43" s="8">
        <f t="shared" si="20"/>
        <v>72.447809626825332</v>
      </c>
      <c r="AQ43" s="8">
        <f t="shared" si="21"/>
        <v>10</v>
      </c>
      <c r="AR43" s="8" t="str">
        <f>VLOOKUP(AM43,Gender!$C$3:$D$454,2,FALSE)</f>
        <v>M</v>
      </c>
      <c r="AS43" s="8">
        <f t="shared" si="18"/>
        <v>5</v>
      </c>
      <c r="AT43" s="8" t="str">
        <f t="shared" si="19"/>
        <v/>
      </c>
    </row>
    <row r="44" spans="3:46" x14ac:dyDescent="0.25">
      <c r="C44" s="1">
        <v>31</v>
      </c>
      <c r="D44" s="1">
        <v>1</v>
      </c>
      <c r="E44">
        <v>1</v>
      </c>
      <c r="F44" s="8">
        <f t="shared" si="0"/>
        <v>0.23850730124391561</v>
      </c>
      <c r="H44" s="8" t="str">
        <f>VLOOKUP(C44,Gender!$C$3:$D$454,2,FALSE)</f>
        <v>M</v>
      </c>
      <c r="I44" s="8">
        <f t="shared" si="2"/>
        <v>1</v>
      </c>
      <c r="J44" s="8" t="str">
        <f t="shared" si="3"/>
        <v/>
      </c>
      <c r="L44">
        <v>37</v>
      </c>
      <c r="M44">
        <v>52</v>
      </c>
      <c r="N44">
        <v>3</v>
      </c>
      <c r="O44" s="8" t="str">
        <f t="shared" si="4"/>
        <v/>
      </c>
      <c r="P44" s="8" t="str">
        <f t="shared" si="5"/>
        <v/>
      </c>
      <c r="Q44" s="8" t="str">
        <f>VLOOKUP(L44,Gender!$C$3:$D$454,2,FALSE)</f>
        <v>M</v>
      </c>
      <c r="R44" s="8" t="str">
        <f t="shared" si="6"/>
        <v/>
      </c>
      <c r="S44" s="8" t="str">
        <f t="shared" si="7"/>
        <v/>
      </c>
      <c r="U44">
        <v>60</v>
      </c>
      <c r="V44">
        <v>30</v>
      </c>
      <c r="W44">
        <v>3</v>
      </c>
      <c r="X44" s="8">
        <f t="shared" si="8"/>
        <v>812.91292590589512</v>
      </c>
      <c r="Y44" s="8">
        <f t="shared" si="9"/>
        <v>30</v>
      </c>
      <c r="Z44" s="8" t="str">
        <f>VLOOKUP(U44,Gender!$C$3:$D$454,2,FALSE)</f>
        <v>M</v>
      </c>
      <c r="AA44" s="8">
        <f t="shared" si="10"/>
        <v>3</v>
      </c>
      <c r="AB44" s="8" t="str">
        <f t="shared" si="11"/>
        <v/>
      </c>
      <c r="AD44">
        <v>133</v>
      </c>
      <c r="AE44">
        <v>48</v>
      </c>
      <c r="AF44">
        <v>4</v>
      </c>
      <c r="AG44" s="8">
        <f t="shared" si="12"/>
        <v>2163.3315305570577</v>
      </c>
      <c r="AH44" s="8">
        <f t="shared" si="13"/>
        <v>48</v>
      </c>
      <c r="AI44" s="8" t="str">
        <f>VLOOKUP(AD44,Gender!$C$3:$D$454,2,FALSE)</f>
        <v>M</v>
      </c>
      <c r="AJ44" s="8">
        <f t="shared" si="14"/>
        <v>4</v>
      </c>
      <c r="AK44" s="8" t="str">
        <f t="shared" si="15"/>
        <v/>
      </c>
      <c r="AM44">
        <v>230</v>
      </c>
      <c r="AN44">
        <v>38</v>
      </c>
      <c r="AO44">
        <v>5</v>
      </c>
      <c r="AP44" s="8">
        <f t="shared" si="20"/>
        <v>1333.0989724175229</v>
      </c>
      <c r="AQ44" s="8">
        <f t="shared" si="21"/>
        <v>38</v>
      </c>
      <c r="AR44" s="8" t="str">
        <f>VLOOKUP(AM44,Gender!$C$3:$D$454,2,FALSE)</f>
        <v>M</v>
      </c>
      <c r="AS44" s="8">
        <f t="shared" si="18"/>
        <v>5</v>
      </c>
      <c r="AT44" s="8" t="str">
        <f t="shared" si="19"/>
        <v/>
      </c>
    </row>
    <row r="45" spans="3:46" x14ac:dyDescent="0.25">
      <c r="C45" s="3">
        <v>32</v>
      </c>
      <c r="D45">
        <v>1</v>
      </c>
      <c r="E45">
        <v>1</v>
      </c>
      <c r="F45" s="8">
        <f t="shared" si="0"/>
        <v>0.23850730124391561</v>
      </c>
      <c r="H45" s="8" t="str">
        <f>VLOOKUP(C45,Gender!$C$3:$D$454,2,FALSE)</f>
        <v>F</v>
      </c>
      <c r="I45" s="8" t="str">
        <f t="shared" si="2"/>
        <v/>
      </c>
      <c r="J45" s="8">
        <f t="shared" si="3"/>
        <v>1</v>
      </c>
      <c r="L45">
        <v>38</v>
      </c>
      <c r="M45">
        <v>95</v>
      </c>
      <c r="N45">
        <v>2</v>
      </c>
      <c r="O45" s="8">
        <f t="shared" si="4"/>
        <v>8744.4245538128707</v>
      </c>
      <c r="P45" s="8">
        <f t="shared" si="5"/>
        <v>95</v>
      </c>
      <c r="Q45" s="8" t="str">
        <f>VLOOKUP(L45,Gender!$C$3:$D$454,2,FALSE)</f>
        <v>M</v>
      </c>
      <c r="R45" s="8">
        <f t="shared" si="6"/>
        <v>2</v>
      </c>
      <c r="S45" s="8" t="str">
        <f t="shared" si="7"/>
        <v/>
      </c>
      <c r="U45">
        <v>62</v>
      </c>
      <c r="V45">
        <v>119</v>
      </c>
      <c r="W45">
        <v>3</v>
      </c>
      <c r="X45" s="8">
        <f t="shared" si="8"/>
        <v>13808.982693347754</v>
      </c>
      <c r="Y45" s="8">
        <f t="shared" si="9"/>
        <v>119</v>
      </c>
      <c r="Z45" s="8" t="str">
        <f>VLOOKUP(U45,Gender!$C$3:$D$454,2,FALSE)</f>
        <v>M</v>
      </c>
      <c r="AA45" s="8">
        <f t="shared" si="10"/>
        <v>3</v>
      </c>
      <c r="AB45" s="8" t="str">
        <f t="shared" si="11"/>
        <v/>
      </c>
      <c r="AD45">
        <v>137</v>
      </c>
      <c r="AE45">
        <v>67</v>
      </c>
      <c r="AF45">
        <v>4</v>
      </c>
      <c r="AG45" s="8">
        <f t="shared" si="12"/>
        <v>4291.7733910221741</v>
      </c>
      <c r="AH45" s="8">
        <f t="shared" si="13"/>
        <v>67</v>
      </c>
      <c r="AI45" s="8" t="str">
        <f>VLOOKUP(AD45,Gender!$C$3:$D$454,2,FALSE)</f>
        <v>F</v>
      </c>
      <c r="AJ45" s="8" t="str">
        <f t="shared" si="14"/>
        <v/>
      </c>
      <c r="AK45" s="8">
        <f t="shared" si="15"/>
        <v>4</v>
      </c>
      <c r="AM45">
        <v>236</v>
      </c>
      <c r="AN45">
        <v>51</v>
      </c>
      <c r="AO45">
        <v>5</v>
      </c>
      <c r="AP45" s="8">
        <f t="shared" si="20"/>
        <v>2451.4012979989179</v>
      </c>
      <c r="AQ45" s="8">
        <f t="shared" si="21"/>
        <v>51</v>
      </c>
      <c r="AR45" s="8" t="str">
        <f>VLOOKUP(AM45,Gender!$C$3:$D$454,2,FALSE)</f>
        <v>M</v>
      </c>
      <c r="AS45" s="8">
        <f t="shared" si="18"/>
        <v>5</v>
      </c>
      <c r="AT45" s="8" t="str">
        <f t="shared" si="19"/>
        <v/>
      </c>
    </row>
    <row r="46" spans="3:46" x14ac:dyDescent="0.25">
      <c r="C46" s="3">
        <v>33</v>
      </c>
      <c r="D46">
        <v>1</v>
      </c>
      <c r="E46">
        <v>2</v>
      </c>
      <c r="F46" s="8" t="str">
        <f t="shared" si="0"/>
        <v/>
      </c>
      <c r="H46" s="8" t="str">
        <f>VLOOKUP(C46,Gender!$C$3:$D$454,2,FALSE)</f>
        <v>M</v>
      </c>
      <c r="I46" s="8" t="str">
        <f t="shared" si="2"/>
        <v/>
      </c>
      <c r="J46" s="8" t="str">
        <f t="shared" si="3"/>
        <v/>
      </c>
      <c r="L46">
        <v>39</v>
      </c>
      <c r="M46">
        <v>16</v>
      </c>
      <c r="N46">
        <v>2</v>
      </c>
      <c r="O46" s="8">
        <f t="shared" si="4"/>
        <v>210.58734451054627</v>
      </c>
      <c r="P46" s="8">
        <f t="shared" si="5"/>
        <v>16</v>
      </c>
      <c r="Q46" s="8" t="str">
        <f>VLOOKUP(L46,Gender!$C$3:$D$454,2,FALSE)</f>
        <v>F</v>
      </c>
      <c r="R46" s="8" t="str">
        <f t="shared" si="6"/>
        <v/>
      </c>
      <c r="S46" s="8">
        <f t="shared" si="7"/>
        <v>2</v>
      </c>
      <c r="U46">
        <v>63</v>
      </c>
      <c r="V46">
        <v>6</v>
      </c>
      <c r="W46">
        <v>5</v>
      </c>
      <c r="X46" s="8" t="str">
        <f t="shared" si="8"/>
        <v/>
      </c>
      <c r="Y46" s="8" t="str">
        <f t="shared" si="9"/>
        <v/>
      </c>
      <c r="Z46" s="8" t="str">
        <f>VLOOKUP(U46,Gender!$C$3:$D$454,2,FALSE)</f>
        <v>M</v>
      </c>
      <c r="AA46" s="8" t="str">
        <f t="shared" si="10"/>
        <v/>
      </c>
      <c r="AB46" s="8" t="str">
        <f t="shared" si="11"/>
        <v/>
      </c>
      <c r="AD46">
        <v>138</v>
      </c>
      <c r="AE46">
        <v>27</v>
      </c>
      <c r="AF46">
        <v>5</v>
      </c>
      <c r="AG46" s="8" t="str">
        <f t="shared" si="12"/>
        <v/>
      </c>
      <c r="AH46" s="8" t="str">
        <f t="shared" si="13"/>
        <v/>
      </c>
      <c r="AI46" s="8" t="str">
        <f>VLOOKUP(AD46,Gender!$C$3:$D$454,2,FALSE)</f>
        <v>M</v>
      </c>
      <c r="AJ46" s="8" t="str">
        <f t="shared" si="14"/>
        <v/>
      </c>
      <c r="AK46" s="8" t="str">
        <f t="shared" si="15"/>
        <v/>
      </c>
      <c r="AM46">
        <v>238</v>
      </c>
      <c r="AN46">
        <v>26</v>
      </c>
      <c r="AO46">
        <v>5</v>
      </c>
      <c r="AP46" s="8">
        <f t="shared" si="20"/>
        <v>600.81990265008119</v>
      </c>
      <c r="AQ46" s="8">
        <f t="shared" si="21"/>
        <v>26</v>
      </c>
      <c r="AR46" s="8" t="str">
        <f>VLOOKUP(AM46,Gender!$C$3:$D$454,2,FALSE)</f>
        <v>F</v>
      </c>
      <c r="AS46" s="8" t="str">
        <f t="shared" si="18"/>
        <v/>
      </c>
      <c r="AT46" s="8">
        <f t="shared" si="19"/>
        <v>5</v>
      </c>
    </row>
    <row r="47" spans="3:46" x14ac:dyDescent="0.25">
      <c r="C47" s="3">
        <v>34</v>
      </c>
      <c r="D47">
        <v>1</v>
      </c>
      <c r="E47">
        <v>1</v>
      </c>
      <c r="F47" s="8">
        <f t="shared" si="0"/>
        <v>0.23850730124391561</v>
      </c>
      <c r="H47" s="8" t="str">
        <f>VLOOKUP(C47,Gender!$C$3:$D$454,2,FALSE)</f>
        <v>M</v>
      </c>
      <c r="I47" s="8">
        <f t="shared" si="2"/>
        <v>1</v>
      </c>
      <c r="J47" s="8" t="str">
        <f t="shared" si="3"/>
        <v/>
      </c>
      <c r="L47">
        <v>40</v>
      </c>
      <c r="M47">
        <v>98</v>
      </c>
      <c r="N47">
        <v>3</v>
      </c>
      <c r="O47" s="8" t="str">
        <f t="shared" si="4"/>
        <v/>
      </c>
      <c r="P47" s="8" t="str">
        <f t="shared" si="5"/>
        <v/>
      </c>
      <c r="Q47" s="8" t="str">
        <f>VLOOKUP(L47,Gender!$C$3:$D$454,2,FALSE)</f>
        <v>M</v>
      </c>
      <c r="R47" s="8" t="str">
        <f t="shared" si="6"/>
        <v/>
      </c>
      <c r="S47" s="8" t="str">
        <f t="shared" si="7"/>
        <v/>
      </c>
      <c r="U47">
        <v>66</v>
      </c>
      <c r="V47">
        <v>1</v>
      </c>
      <c r="W47">
        <v>3</v>
      </c>
      <c r="X47" s="8">
        <f t="shared" si="8"/>
        <v>0.23850730124391561</v>
      </c>
      <c r="Y47" s="8">
        <f t="shared" si="9"/>
        <v>1</v>
      </c>
      <c r="Z47" s="8" t="str">
        <f>VLOOKUP(U47,Gender!$C$3:$D$454,2,FALSE)</f>
        <v>F</v>
      </c>
      <c r="AA47" s="8" t="str">
        <f t="shared" si="10"/>
        <v/>
      </c>
      <c r="AB47" s="8">
        <f t="shared" si="11"/>
        <v>3</v>
      </c>
      <c r="AD47">
        <v>143</v>
      </c>
      <c r="AE47">
        <v>7</v>
      </c>
      <c r="AF47">
        <v>5</v>
      </c>
      <c r="AG47" s="8" t="str">
        <f t="shared" si="12"/>
        <v/>
      </c>
      <c r="AH47" s="8" t="str">
        <f t="shared" si="13"/>
        <v/>
      </c>
      <c r="AI47" s="8" t="str">
        <f>VLOOKUP(AD47,Gender!$C$3:$D$454,2,FALSE)</f>
        <v>F</v>
      </c>
      <c r="AJ47" s="8" t="str">
        <f t="shared" si="14"/>
        <v/>
      </c>
      <c r="AK47" s="8" t="str">
        <f t="shared" si="15"/>
        <v/>
      </c>
      <c r="AM47">
        <v>240</v>
      </c>
      <c r="AN47">
        <v>27</v>
      </c>
      <c r="AO47">
        <v>5</v>
      </c>
      <c r="AP47" s="8">
        <f t="shared" si="20"/>
        <v>650.84315846403467</v>
      </c>
      <c r="AQ47" s="8">
        <f t="shared" si="21"/>
        <v>27</v>
      </c>
      <c r="AR47" s="8" t="str">
        <f>VLOOKUP(AM47,Gender!$C$3:$D$454,2,FALSE)</f>
        <v>F</v>
      </c>
      <c r="AS47" s="8" t="str">
        <f t="shared" si="18"/>
        <v/>
      </c>
      <c r="AT47" s="8">
        <f t="shared" si="19"/>
        <v>5</v>
      </c>
    </row>
    <row r="48" spans="3:46" x14ac:dyDescent="0.25">
      <c r="C48">
        <v>35</v>
      </c>
      <c r="D48">
        <v>1</v>
      </c>
      <c r="E48">
        <v>1</v>
      </c>
      <c r="F48" s="8">
        <f t="shared" si="0"/>
        <v>0.23850730124391561</v>
      </c>
      <c r="H48" s="8" t="str">
        <f>VLOOKUP(C48,Gender!$C$3:$D$454,2,FALSE)</f>
        <v>M</v>
      </c>
      <c r="I48" s="8">
        <f t="shared" si="2"/>
        <v>1</v>
      </c>
      <c r="J48" s="8" t="str">
        <f t="shared" si="3"/>
        <v/>
      </c>
      <c r="L48">
        <v>41</v>
      </c>
      <c r="M48">
        <v>1</v>
      </c>
      <c r="N48">
        <v>2</v>
      </c>
      <c r="O48" s="8">
        <f t="shared" si="4"/>
        <v>0.23850730124391561</v>
      </c>
      <c r="P48" s="8">
        <f t="shared" si="5"/>
        <v>1</v>
      </c>
      <c r="Q48" s="8" t="str">
        <f>VLOOKUP(L48,Gender!$C$3:$D$454,2,FALSE)</f>
        <v>M</v>
      </c>
      <c r="R48" s="8">
        <f t="shared" si="6"/>
        <v>2</v>
      </c>
      <c r="S48" s="8" t="str">
        <f t="shared" si="7"/>
        <v/>
      </c>
      <c r="U48">
        <v>69</v>
      </c>
      <c r="V48">
        <v>27</v>
      </c>
      <c r="W48">
        <v>3</v>
      </c>
      <c r="X48" s="8">
        <f t="shared" si="8"/>
        <v>650.84315846403467</v>
      </c>
      <c r="Y48" s="8">
        <f t="shared" si="9"/>
        <v>27</v>
      </c>
      <c r="Z48" s="8" t="str">
        <f>VLOOKUP(U48,Gender!$C$3:$D$454,2,FALSE)</f>
        <v>F</v>
      </c>
      <c r="AA48" s="8" t="str">
        <f t="shared" si="10"/>
        <v/>
      </c>
      <c r="AB48" s="8">
        <f t="shared" si="11"/>
        <v>3</v>
      </c>
      <c r="AD48">
        <v>152</v>
      </c>
      <c r="AE48">
        <v>24</v>
      </c>
      <c r="AF48">
        <v>4</v>
      </c>
      <c r="AG48" s="8">
        <f t="shared" si="12"/>
        <v>506.77339102217417</v>
      </c>
      <c r="AH48" s="8">
        <f t="shared" si="13"/>
        <v>24</v>
      </c>
      <c r="AI48" s="8" t="str">
        <f>VLOOKUP(AD48,Gender!$C$3:$D$454,2,FALSE)</f>
        <v>M</v>
      </c>
      <c r="AJ48" s="8">
        <f t="shared" si="14"/>
        <v>4</v>
      </c>
      <c r="AK48" s="8" t="str">
        <f t="shared" si="15"/>
        <v/>
      </c>
      <c r="AM48">
        <v>242</v>
      </c>
      <c r="AN48">
        <v>77</v>
      </c>
      <c r="AO48">
        <v>5</v>
      </c>
      <c r="AP48" s="8">
        <f t="shared" si="20"/>
        <v>5702.0059491617085</v>
      </c>
      <c r="AQ48" s="8">
        <f t="shared" si="21"/>
        <v>77</v>
      </c>
      <c r="AR48" s="8" t="str">
        <f>VLOOKUP(AM48,Gender!$C$3:$D$454,2,FALSE)</f>
        <v>M</v>
      </c>
      <c r="AS48" s="8">
        <f t="shared" si="18"/>
        <v>5</v>
      </c>
      <c r="AT48" s="8" t="str">
        <f t="shared" si="19"/>
        <v/>
      </c>
    </row>
    <row r="49" spans="3:46" x14ac:dyDescent="0.25">
      <c r="C49">
        <v>36</v>
      </c>
      <c r="D49">
        <v>1</v>
      </c>
      <c r="E49">
        <v>1</v>
      </c>
      <c r="F49" s="8">
        <f t="shared" si="0"/>
        <v>0.23850730124391561</v>
      </c>
      <c r="H49" s="8" t="str">
        <f>VLOOKUP(C49,Gender!$C$3:$D$454,2,FALSE)</f>
        <v>M</v>
      </c>
      <c r="I49" s="8">
        <f t="shared" si="2"/>
        <v>1</v>
      </c>
      <c r="J49" s="8" t="str">
        <f t="shared" si="3"/>
        <v/>
      </c>
      <c r="L49">
        <v>43</v>
      </c>
      <c r="M49">
        <v>80</v>
      </c>
      <c r="N49">
        <v>3</v>
      </c>
      <c r="O49" s="8" t="str">
        <f t="shared" si="4"/>
        <v/>
      </c>
      <c r="P49" s="8" t="str">
        <f t="shared" si="5"/>
        <v/>
      </c>
      <c r="Q49" s="8" t="str">
        <f>VLOOKUP(L49,Gender!$C$3:$D$454,2,FALSE)</f>
        <v>M</v>
      </c>
      <c r="R49" s="8" t="str">
        <f t="shared" si="6"/>
        <v/>
      </c>
      <c r="S49" s="8" t="str">
        <f t="shared" si="7"/>
        <v/>
      </c>
      <c r="U49">
        <v>71</v>
      </c>
      <c r="V49">
        <v>1</v>
      </c>
      <c r="W49">
        <v>4</v>
      </c>
      <c r="X49" s="8" t="str">
        <f t="shared" si="8"/>
        <v/>
      </c>
      <c r="Y49" s="8" t="str">
        <f t="shared" si="9"/>
        <v/>
      </c>
      <c r="Z49" s="8" t="str">
        <f>VLOOKUP(U49,Gender!$C$3:$D$454,2,FALSE)</f>
        <v>M</v>
      </c>
      <c r="AA49" s="8" t="str">
        <f t="shared" si="10"/>
        <v/>
      </c>
      <c r="AB49" s="8" t="str">
        <f t="shared" si="11"/>
        <v/>
      </c>
      <c r="AD49">
        <v>157</v>
      </c>
      <c r="AE49">
        <v>69</v>
      </c>
      <c r="AF49">
        <v>5</v>
      </c>
      <c r="AG49" s="8" t="str">
        <f t="shared" si="12"/>
        <v/>
      </c>
      <c r="AH49" s="8" t="str">
        <f t="shared" si="13"/>
        <v/>
      </c>
      <c r="AI49" s="8" t="str">
        <f>VLOOKUP(AD49,Gender!$C$3:$D$454,2,FALSE)</f>
        <v>M</v>
      </c>
      <c r="AJ49" s="8" t="str">
        <f t="shared" si="14"/>
        <v/>
      </c>
      <c r="AK49" s="8" t="str">
        <f t="shared" si="15"/>
        <v/>
      </c>
      <c r="AM49">
        <v>246</v>
      </c>
      <c r="AN49">
        <v>23</v>
      </c>
      <c r="AO49">
        <v>5</v>
      </c>
      <c r="AP49" s="8">
        <f t="shared" si="20"/>
        <v>462.75013520822068</v>
      </c>
      <c r="AQ49" s="8">
        <f t="shared" si="21"/>
        <v>23</v>
      </c>
      <c r="AR49" s="8" t="str">
        <f>VLOOKUP(AM49,Gender!$C$3:$D$454,2,FALSE)</f>
        <v>M</v>
      </c>
      <c r="AS49" s="8">
        <f t="shared" si="18"/>
        <v>5</v>
      </c>
      <c r="AT49" s="8" t="str">
        <f t="shared" si="19"/>
        <v/>
      </c>
    </row>
    <row r="50" spans="3:46" x14ac:dyDescent="0.25">
      <c r="C50">
        <v>37</v>
      </c>
      <c r="D50">
        <v>1</v>
      </c>
      <c r="E50">
        <v>1</v>
      </c>
      <c r="F50" s="8">
        <f t="shared" si="0"/>
        <v>0.23850730124391561</v>
      </c>
      <c r="H50" s="8" t="str">
        <f>VLOOKUP(C50,Gender!$C$3:$D$454,2,FALSE)</f>
        <v>M</v>
      </c>
      <c r="I50" s="8">
        <f t="shared" si="2"/>
        <v>1</v>
      </c>
      <c r="J50" s="8" t="str">
        <f t="shared" si="3"/>
        <v/>
      </c>
      <c r="L50">
        <v>44</v>
      </c>
      <c r="M50">
        <v>47</v>
      </c>
      <c r="N50">
        <v>5</v>
      </c>
      <c r="O50" s="8" t="str">
        <f t="shared" si="4"/>
        <v/>
      </c>
      <c r="P50" s="8" t="str">
        <f t="shared" si="5"/>
        <v/>
      </c>
      <c r="Q50" s="8" t="str">
        <f>VLOOKUP(L50,Gender!$C$3:$D$454,2,FALSE)</f>
        <v>M</v>
      </c>
      <c r="R50" s="8" t="str">
        <f t="shared" si="6"/>
        <v/>
      </c>
      <c r="S50" s="8" t="str">
        <f t="shared" si="7"/>
        <v/>
      </c>
      <c r="U50">
        <v>73</v>
      </c>
      <c r="V50">
        <v>30</v>
      </c>
      <c r="W50">
        <v>3</v>
      </c>
      <c r="X50" s="8">
        <f t="shared" si="8"/>
        <v>812.91292590589512</v>
      </c>
      <c r="Y50" s="8">
        <f t="shared" si="9"/>
        <v>30</v>
      </c>
      <c r="Z50" s="8" t="str">
        <f>VLOOKUP(U50,Gender!$C$3:$D$454,2,FALSE)</f>
        <v>M</v>
      </c>
      <c r="AA50" s="8">
        <f t="shared" si="10"/>
        <v>3</v>
      </c>
      <c r="AB50" s="8" t="str">
        <f t="shared" si="11"/>
        <v/>
      </c>
      <c r="AD50">
        <v>159</v>
      </c>
      <c r="AE50">
        <v>68</v>
      </c>
      <c r="AF50">
        <v>5</v>
      </c>
      <c r="AG50" s="8" t="str">
        <f t="shared" si="12"/>
        <v/>
      </c>
      <c r="AH50" s="8" t="str">
        <f t="shared" si="13"/>
        <v/>
      </c>
      <c r="AI50" s="8" t="str">
        <f>VLOOKUP(AD50,Gender!$C$3:$D$454,2,FALSE)</f>
        <v>M</v>
      </c>
      <c r="AJ50" s="8" t="str">
        <f t="shared" si="14"/>
        <v/>
      </c>
      <c r="AK50" s="8" t="str">
        <f t="shared" si="15"/>
        <v/>
      </c>
      <c r="AM50">
        <v>259</v>
      </c>
      <c r="AN50">
        <v>48</v>
      </c>
      <c r="AO50">
        <v>5</v>
      </c>
      <c r="AP50" s="8">
        <f t="shared" si="20"/>
        <v>2163.3315305570577</v>
      </c>
      <c r="AQ50" s="8">
        <f t="shared" si="21"/>
        <v>48</v>
      </c>
      <c r="AR50" s="8" t="str">
        <f>VLOOKUP(AM50,Gender!$C$3:$D$454,2,FALSE)</f>
        <v>M</v>
      </c>
      <c r="AS50" s="8">
        <f t="shared" si="18"/>
        <v>5</v>
      </c>
      <c r="AT50" s="8" t="str">
        <f t="shared" si="19"/>
        <v/>
      </c>
    </row>
    <row r="51" spans="3:46" x14ac:dyDescent="0.25">
      <c r="C51">
        <v>38</v>
      </c>
      <c r="D51">
        <v>1</v>
      </c>
      <c r="E51">
        <v>1</v>
      </c>
      <c r="F51" s="8">
        <f t="shared" si="0"/>
        <v>0.23850730124391561</v>
      </c>
      <c r="H51" s="8" t="str">
        <f>VLOOKUP(C51,Gender!$C$3:$D$454,2,FALSE)</f>
        <v>M</v>
      </c>
      <c r="I51" s="8">
        <f t="shared" si="2"/>
        <v>1</v>
      </c>
      <c r="J51" s="8" t="str">
        <f t="shared" si="3"/>
        <v/>
      </c>
      <c r="L51">
        <v>45</v>
      </c>
      <c r="M51">
        <v>48</v>
      </c>
      <c r="N51">
        <v>4</v>
      </c>
      <c r="O51" s="8" t="str">
        <f t="shared" si="4"/>
        <v/>
      </c>
      <c r="P51" s="8" t="str">
        <f t="shared" si="5"/>
        <v/>
      </c>
      <c r="Q51" s="8" t="str">
        <f>VLOOKUP(L51,Gender!$C$3:$D$454,2,FALSE)</f>
        <v>M</v>
      </c>
      <c r="R51" s="8" t="str">
        <f t="shared" si="6"/>
        <v/>
      </c>
      <c r="S51" s="8" t="str">
        <f t="shared" si="7"/>
        <v/>
      </c>
      <c r="U51">
        <v>74</v>
      </c>
      <c r="V51">
        <v>24</v>
      </c>
      <c r="W51">
        <v>3</v>
      </c>
      <c r="X51" s="8">
        <f t="shared" si="8"/>
        <v>506.77339102217417</v>
      </c>
      <c r="Y51" s="8">
        <f t="shared" si="9"/>
        <v>24</v>
      </c>
      <c r="Z51" s="8" t="str">
        <f>VLOOKUP(U51,Gender!$C$3:$D$454,2,FALSE)</f>
        <v>M</v>
      </c>
      <c r="AA51" s="8">
        <f t="shared" si="10"/>
        <v>3</v>
      </c>
      <c r="AB51" s="8" t="str">
        <f t="shared" si="11"/>
        <v/>
      </c>
      <c r="AD51">
        <v>163</v>
      </c>
      <c r="AE51">
        <v>6</v>
      </c>
      <c r="AF51">
        <v>5</v>
      </c>
      <c r="AG51" s="8" t="str">
        <f t="shared" si="12"/>
        <v/>
      </c>
      <c r="AH51" s="8" t="str">
        <f t="shared" si="13"/>
        <v/>
      </c>
      <c r="AI51" s="8" t="str">
        <f>VLOOKUP(AD51,Gender!$C$3:$D$454,2,FALSE)</f>
        <v>M</v>
      </c>
      <c r="AJ51" s="8" t="str">
        <f t="shared" si="14"/>
        <v/>
      </c>
      <c r="AK51" s="8" t="str">
        <f t="shared" si="15"/>
        <v/>
      </c>
      <c r="AM51">
        <v>270</v>
      </c>
      <c r="AN51">
        <v>12</v>
      </c>
      <c r="AO51">
        <v>5</v>
      </c>
      <c r="AP51" s="8">
        <f t="shared" si="20"/>
        <v>110.49432125473231</v>
      </c>
      <c r="AQ51" s="8">
        <f t="shared" si="21"/>
        <v>12</v>
      </c>
      <c r="AR51" s="8" t="str">
        <f>VLOOKUP(AM51,Gender!$C$3:$D$454,2,FALSE)</f>
        <v>M</v>
      </c>
      <c r="AS51" s="8">
        <f t="shared" si="18"/>
        <v>5</v>
      </c>
      <c r="AT51" s="8" t="str">
        <f t="shared" si="19"/>
        <v/>
      </c>
    </row>
    <row r="52" spans="3:46" x14ac:dyDescent="0.25">
      <c r="C52">
        <v>39</v>
      </c>
      <c r="D52">
        <v>1</v>
      </c>
      <c r="E52">
        <v>1</v>
      </c>
      <c r="F52" s="8">
        <f t="shared" si="0"/>
        <v>0.23850730124391561</v>
      </c>
      <c r="H52" s="8" t="str">
        <f>VLOOKUP(C52,Gender!$C$3:$D$454,2,FALSE)</f>
        <v>F</v>
      </c>
      <c r="I52" s="8" t="str">
        <f t="shared" si="2"/>
        <v/>
      </c>
      <c r="J52" s="8">
        <f t="shared" si="3"/>
        <v>1</v>
      </c>
      <c r="L52">
        <v>46</v>
      </c>
      <c r="M52">
        <v>21</v>
      </c>
      <c r="N52">
        <v>2</v>
      </c>
      <c r="O52" s="8">
        <f t="shared" si="4"/>
        <v>380.70362358031372</v>
      </c>
      <c r="P52" s="8">
        <f t="shared" si="5"/>
        <v>21</v>
      </c>
      <c r="Q52" s="8" t="str">
        <f>VLOOKUP(L52,Gender!$C$3:$D$454,2,FALSE)</f>
        <v>M</v>
      </c>
      <c r="R52" s="8">
        <f t="shared" si="6"/>
        <v>2</v>
      </c>
      <c r="S52" s="8" t="str">
        <f t="shared" si="7"/>
        <v/>
      </c>
      <c r="U52">
        <v>75</v>
      </c>
      <c r="V52">
        <v>128</v>
      </c>
      <c r="W52">
        <v>3</v>
      </c>
      <c r="X52" s="8">
        <f t="shared" si="8"/>
        <v>16005.191995673336</v>
      </c>
      <c r="Y52" s="8">
        <f t="shared" si="9"/>
        <v>128</v>
      </c>
      <c r="Z52" s="8" t="str">
        <f>VLOOKUP(U52,Gender!$C$3:$D$454,2,FALSE)</f>
        <v>M</v>
      </c>
      <c r="AA52" s="8">
        <f t="shared" si="10"/>
        <v>3</v>
      </c>
      <c r="AB52" s="8" t="str">
        <f t="shared" si="11"/>
        <v/>
      </c>
      <c r="AD52">
        <v>167</v>
      </c>
      <c r="AE52">
        <v>35</v>
      </c>
      <c r="AF52">
        <v>5</v>
      </c>
      <c r="AG52" s="8" t="str">
        <f t="shared" si="12"/>
        <v/>
      </c>
      <c r="AH52" s="8" t="str">
        <f t="shared" si="13"/>
        <v/>
      </c>
      <c r="AI52" s="8" t="str">
        <f>VLOOKUP(AD52,Gender!$C$3:$D$454,2,FALSE)</f>
        <v>M</v>
      </c>
      <c r="AJ52" s="8" t="str">
        <f t="shared" si="14"/>
        <v/>
      </c>
      <c r="AK52" s="8" t="str">
        <f t="shared" si="15"/>
        <v/>
      </c>
      <c r="AM52">
        <v>271</v>
      </c>
      <c r="AN52">
        <v>36</v>
      </c>
      <c r="AO52">
        <v>5</v>
      </c>
      <c r="AP52" s="8">
        <f t="shared" si="20"/>
        <v>1191.0524607896159</v>
      </c>
      <c r="AQ52" s="8">
        <f t="shared" si="21"/>
        <v>36</v>
      </c>
      <c r="AR52" s="8" t="str">
        <f>VLOOKUP(AM52,Gender!$C$3:$D$454,2,FALSE)</f>
        <v>M</v>
      </c>
      <c r="AS52" s="8">
        <f t="shared" si="18"/>
        <v>5</v>
      </c>
      <c r="AT52" s="8" t="str">
        <f t="shared" si="19"/>
        <v/>
      </c>
    </row>
    <row r="53" spans="3:46" x14ac:dyDescent="0.25">
      <c r="C53">
        <v>40</v>
      </c>
      <c r="D53">
        <v>2</v>
      </c>
      <c r="E53">
        <v>1</v>
      </c>
      <c r="F53" s="8">
        <f t="shared" si="0"/>
        <v>0.26176311519740403</v>
      </c>
      <c r="H53" s="8" t="str">
        <f>VLOOKUP(C53,Gender!$C$3:$D$454,2,FALSE)</f>
        <v>M</v>
      </c>
      <c r="I53" s="8">
        <f t="shared" si="2"/>
        <v>1</v>
      </c>
      <c r="J53" s="8" t="str">
        <f t="shared" si="3"/>
        <v/>
      </c>
      <c r="L53">
        <v>48</v>
      </c>
      <c r="M53">
        <v>44</v>
      </c>
      <c r="N53">
        <v>5</v>
      </c>
      <c r="O53" s="8" t="str">
        <f t="shared" si="4"/>
        <v/>
      </c>
      <c r="P53" s="8" t="str">
        <f t="shared" si="5"/>
        <v/>
      </c>
      <c r="Q53" s="8" t="str">
        <f>VLOOKUP(L53,Gender!$C$3:$D$454,2,FALSE)</f>
        <v>M</v>
      </c>
      <c r="R53" s="8" t="str">
        <f t="shared" si="6"/>
        <v/>
      </c>
      <c r="S53" s="8" t="str">
        <f t="shared" si="7"/>
        <v/>
      </c>
      <c r="U53">
        <v>76</v>
      </c>
      <c r="V53">
        <v>3</v>
      </c>
      <c r="W53">
        <v>4</v>
      </c>
      <c r="X53" s="8" t="str">
        <f t="shared" si="8"/>
        <v/>
      </c>
      <c r="Y53" s="8" t="str">
        <f t="shared" si="9"/>
        <v/>
      </c>
      <c r="Z53" s="8" t="str">
        <f>VLOOKUP(U53,Gender!$C$3:$D$454,2,FALSE)</f>
        <v>M</v>
      </c>
      <c r="AA53" s="8" t="str">
        <f t="shared" si="10"/>
        <v/>
      </c>
      <c r="AB53" s="8" t="str">
        <f t="shared" si="11"/>
        <v/>
      </c>
      <c r="AD53">
        <v>179</v>
      </c>
      <c r="AE53">
        <v>24</v>
      </c>
      <c r="AF53">
        <v>4</v>
      </c>
      <c r="AG53" s="8">
        <f t="shared" si="12"/>
        <v>506.77339102217417</v>
      </c>
      <c r="AH53" s="8">
        <f t="shared" si="13"/>
        <v>24</v>
      </c>
      <c r="AI53" s="8" t="str">
        <f>VLOOKUP(AD53,Gender!$C$3:$D$454,2,FALSE)</f>
        <v>M</v>
      </c>
      <c r="AJ53" s="8">
        <f t="shared" si="14"/>
        <v>4</v>
      </c>
      <c r="AK53" s="8" t="str">
        <f t="shared" si="15"/>
        <v/>
      </c>
      <c r="AM53">
        <v>273</v>
      </c>
      <c r="AN53">
        <v>21</v>
      </c>
      <c r="AO53">
        <v>5</v>
      </c>
      <c r="AP53" s="8">
        <f t="shared" si="20"/>
        <v>380.70362358031372</v>
      </c>
      <c r="AQ53" s="8">
        <f t="shared" si="21"/>
        <v>21</v>
      </c>
      <c r="AR53" s="8" t="str">
        <f>VLOOKUP(AM53,Gender!$C$3:$D$454,2,FALSE)</f>
        <v>M</v>
      </c>
      <c r="AS53" s="8">
        <f t="shared" si="18"/>
        <v>5</v>
      </c>
      <c r="AT53" s="8" t="str">
        <f t="shared" si="19"/>
        <v/>
      </c>
    </row>
    <row r="54" spans="3:46" x14ac:dyDescent="0.25">
      <c r="C54">
        <v>41</v>
      </c>
      <c r="D54">
        <v>1</v>
      </c>
      <c r="E54">
        <v>2</v>
      </c>
      <c r="F54" s="8" t="str">
        <f t="shared" si="0"/>
        <v/>
      </c>
      <c r="H54" s="8" t="str">
        <f>VLOOKUP(C54,Gender!$C$3:$D$454,2,FALSE)</f>
        <v>M</v>
      </c>
      <c r="I54" s="8" t="str">
        <f t="shared" si="2"/>
        <v/>
      </c>
      <c r="J54" s="8" t="str">
        <f t="shared" si="3"/>
        <v/>
      </c>
      <c r="L54">
        <v>49</v>
      </c>
      <c r="M54">
        <v>55</v>
      </c>
      <c r="N54">
        <v>2</v>
      </c>
      <c r="O54" s="8">
        <f t="shared" si="4"/>
        <v>2863.4943212547319</v>
      </c>
      <c r="P54" s="8">
        <f t="shared" si="5"/>
        <v>55</v>
      </c>
      <c r="Q54" s="8" t="str">
        <f>VLOOKUP(L54,Gender!$C$3:$D$454,2,FALSE)</f>
        <v>M</v>
      </c>
      <c r="R54" s="8">
        <f t="shared" si="6"/>
        <v>2</v>
      </c>
      <c r="S54" s="8" t="str">
        <f t="shared" si="7"/>
        <v/>
      </c>
      <c r="U54">
        <v>77</v>
      </c>
      <c r="V54">
        <v>13</v>
      </c>
      <c r="W54">
        <v>3</v>
      </c>
      <c r="X54" s="8">
        <f t="shared" si="8"/>
        <v>132.5175770686858</v>
      </c>
      <c r="Y54" s="8">
        <f t="shared" si="9"/>
        <v>13</v>
      </c>
      <c r="Z54" s="8" t="str">
        <f>VLOOKUP(U54,Gender!$C$3:$D$454,2,FALSE)</f>
        <v>M</v>
      </c>
      <c r="AA54" s="8">
        <f t="shared" si="10"/>
        <v>3</v>
      </c>
      <c r="AB54" s="8" t="str">
        <f t="shared" si="11"/>
        <v/>
      </c>
      <c r="AD54">
        <v>181</v>
      </c>
      <c r="AE54">
        <v>105</v>
      </c>
      <c r="AF54">
        <v>5</v>
      </c>
      <c r="AG54" s="8" t="str">
        <f t="shared" si="12"/>
        <v/>
      </c>
      <c r="AH54" s="8" t="str">
        <f t="shared" si="13"/>
        <v/>
      </c>
      <c r="AI54" s="8" t="str">
        <f>VLOOKUP(AD54,Gender!$C$3:$D$454,2,FALSE)</f>
        <v>M</v>
      </c>
      <c r="AJ54" s="8" t="str">
        <f t="shared" si="14"/>
        <v/>
      </c>
      <c r="AK54" s="8" t="str">
        <f t="shared" si="15"/>
        <v/>
      </c>
      <c r="AM54">
        <v>278</v>
      </c>
      <c r="AN54">
        <v>10</v>
      </c>
      <c r="AO54">
        <v>5</v>
      </c>
      <c r="AP54" s="8">
        <f t="shared" si="20"/>
        <v>72.447809626825332</v>
      </c>
      <c r="AQ54" s="8">
        <f t="shared" si="21"/>
        <v>10</v>
      </c>
      <c r="AR54" s="8" t="str">
        <f>VLOOKUP(AM54,Gender!$C$3:$D$454,2,FALSE)</f>
        <v>M</v>
      </c>
      <c r="AS54" s="8">
        <f t="shared" si="18"/>
        <v>5</v>
      </c>
      <c r="AT54" s="8" t="str">
        <f t="shared" si="19"/>
        <v/>
      </c>
    </row>
    <row r="55" spans="3:46" x14ac:dyDescent="0.25">
      <c r="C55">
        <v>42</v>
      </c>
      <c r="D55">
        <v>2</v>
      </c>
      <c r="E55">
        <v>1</v>
      </c>
      <c r="F55" s="8">
        <f t="shared" si="0"/>
        <v>0.26176311519740403</v>
      </c>
      <c r="H55" s="8" t="str">
        <f>VLOOKUP(C55,Gender!$C$3:$D$454,2,FALSE)</f>
        <v>F</v>
      </c>
      <c r="I55" s="8" t="str">
        <f t="shared" si="2"/>
        <v/>
      </c>
      <c r="J55" s="8">
        <f t="shared" si="3"/>
        <v>1</v>
      </c>
      <c r="L55">
        <v>51</v>
      </c>
      <c r="M55">
        <v>40</v>
      </c>
      <c r="N55">
        <v>2</v>
      </c>
      <c r="O55" s="8">
        <f t="shared" si="4"/>
        <v>1483.1454840454298</v>
      </c>
      <c r="P55" s="8">
        <f t="shared" si="5"/>
        <v>40</v>
      </c>
      <c r="Q55" s="8" t="str">
        <f>VLOOKUP(L55,Gender!$C$3:$D$454,2,FALSE)</f>
        <v>M</v>
      </c>
      <c r="R55" s="8">
        <f t="shared" si="6"/>
        <v>2</v>
      </c>
      <c r="S55" s="8" t="str">
        <f t="shared" si="7"/>
        <v/>
      </c>
      <c r="U55">
        <v>85</v>
      </c>
      <c r="V55">
        <v>18</v>
      </c>
      <c r="W55">
        <v>3</v>
      </c>
      <c r="X55" s="8">
        <f t="shared" si="8"/>
        <v>272.63385613845327</v>
      </c>
      <c r="Y55" s="8">
        <f t="shared" si="9"/>
        <v>18</v>
      </c>
      <c r="Z55" s="8" t="str">
        <f>VLOOKUP(U55,Gender!$C$3:$D$454,2,FALSE)</f>
        <v>M</v>
      </c>
      <c r="AA55" s="8">
        <f t="shared" si="10"/>
        <v>3</v>
      </c>
      <c r="AB55" s="8" t="str">
        <f t="shared" si="11"/>
        <v/>
      </c>
      <c r="AD55">
        <v>187</v>
      </c>
      <c r="AE55">
        <v>14</v>
      </c>
      <c r="AF55">
        <v>4</v>
      </c>
      <c r="AG55" s="8">
        <f t="shared" si="12"/>
        <v>156.54083288263928</v>
      </c>
      <c r="AH55" s="8">
        <f t="shared" si="13"/>
        <v>14</v>
      </c>
      <c r="AI55" s="8" t="str">
        <f>VLOOKUP(AD55,Gender!$C$3:$D$454,2,FALSE)</f>
        <v>M</v>
      </c>
      <c r="AJ55" s="8">
        <f t="shared" si="14"/>
        <v>4</v>
      </c>
      <c r="AK55" s="8" t="str">
        <f t="shared" si="15"/>
        <v/>
      </c>
    </row>
    <row r="56" spans="3:46" x14ac:dyDescent="0.25">
      <c r="C56">
        <v>43</v>
      </c>
      <c r="D56">
        <v>2</v>
      </c>
      <c r="E56">
        <v>1</v>
      </c>
      <c r="F56" s="8">
        <f t="shared" si="0"/>
        <v>0.26176311519740403</v>
      </c>
      <c r="H56" s="8" t="str">
        <f>VLOOKUP(C56,Gender!$C$3:$D$454,2,FALSE)</f>
        <v>M</v>
      </c>
      <c r="I56" s="8">
        <f t="shared" si="2"/>
        <v>1</v>
      </c>
      <c r="J56" s="8" t="str">
        <f t="shared" si="3"/>
        <v/>
      </c>
      <c r="L56">
        <v>52</v>
      </c>
      <c r="M56">
        <v>12</v>
      </c>
      <c r="N56">
        <v>4</v>
      </c>
      <c r="O56" s="8" t="str">
        <f t="shared" si="4"/>
        <v/>
      </c>
      <c r="P56" s="8" t="str">
        <f t="shared" si="5"/>
        <v/>
      </c>
      <c r="Q56" s="8" t="str">
        <f>VLOOKUP(L56,Gender!$C$3:$D$454,2,FALSE)</f>
        <v>F</v>
      </c>
      <c r="R56" s="8" t="str">
        <f t="shared" si="6"/>
        <v/>
      </c>
      <c r="S56" s="8" t="str">
        <f t="shared" si="7"/>
        <v/>
      </c>
      <c r="U56">
        <v>89</v>
      </c>
      <c r="V56">
        <v>56</v>
      </c>
      <c r="W56">
        <v>3</v>
      </c>
      <c r="X56" s="8">
        <f t="shared" si="8"/>
        <v>2971.5175770686856</v>
      </c>
      <c r="Y56" s="8">
        <f t="shared" si="9"/>
        <v>56</v>
      </c>
      <c r="Z56" s="8" t="str">
        <f>VLOOKUP(U56,Gender!$C$3:$D$454,2,FALSE)</f>
        <v>M</v>
      </c>
      <c r="AA56" s="8">
        <f t="shared" si="10"/>
        <v>3</v>
      </c>
      <c r="AB56" s="8" t="str">
        <f t="shared" si="11"/>
        <v/>
      </c>
      <c r="AD56">
        <v>194</v>
      </c>
      <c r="AE56">
        <v>76</v>
      </c>
      <c r="AF56">
        <v>4</v>
      </c>
      <c r="AG56" s="8">
        <f t="shared" si="12"/>
        <v>5551.9826933477552</v>
      </c>
      <c r="AH56" s="8">
        <f t="shared" si="13"/>
        <v>76</v>
      </c>
      <c r="AI56" s="8" t="str">
        <f>VLOOKUP(AD56,Gender!$C$3:$D$454,2,FALSE)</f>
        <v>M</v>
      </c>
      <c r="AJ56" s="8">
        <f t="shared" si="14"/>
        <v>4</v>
      </c>
      <c r="AK56" s="8" t="str">
        <f t="shared" si="15"/>
        <v/>
      </c>
    </row>
    <row r="57" spans="3:46" x14ac:dyDescent="0.25">
      <c r="C57">
        <v>44</v>
      </c>
      <c r="D57">
        <v>1</v>
      </c>
      <c r="E57">
        <v>1</v>
      </c>
      <c r="F57" s="8">
        <f t="shared" si="0"/>
        <v>0.23850730124391561</v>
      </c>
      <c r="H57" s="8" t="str">
        <f>VLOOKUP(C57,Gender!$C$3:$D$454,2,FALSE)</f>
        <v>M</v>
      </c>
      <c r="I57" s="8">
        <f t="shared" si="2"/>
        <v>1</v>
      </c>
      <c r="J57" s="8" t="str">
        <f t="shared" si="3"/>
        <v/>
      </c>
      <c r="L57">
        <v>53</v>
      </c>
      <c r="M57">
        <v>17</v>
      </c>
      <c r="N57">
        <v>5</v>
      </c>
      <c r="O57" s="8" t="str">
        <f t="shared" si="4"/>
        <v/>
      </c>
      <c r="P57" s="8" t="str">
        <f t="shared" si="5"/>
        <v/>
      </c>
      <c r="Q57" s="8" t="str">
        <f>VLOOKUP(L57,Gender!$C$3:$D$454,2,FALSE)</f>
        <v>F</v>
      </c>
      <c r="R57" s="8" t="str">
        <f t="shared" si="6"/>
        <v/>
      </c>
      <c r="S57" s="8" t="str">
        <f t="shared" si="7"/>
        <v/>
      </c>
      <c r="U57">
        <v>93</v>
      </c>
      <c r="V57">
        <v>10</v>
      </c>
      <c r="W57">
        <v>5</v>
      </c>
      <c r="X57" s="8" t="str">
        <f t="shared" si="8"/>
        <v/>
      </c>
      <c r="Y57" s="8" t="str">
        <f t="shared" si="9"/>
        <v/>
      </c>
      <c r="Z57" s="8" t="str">
        <f>VLOOKUP(U57,Gender!$C$3:$D$454,2,FALSE)</f>
        <v>M</v>
      </c>
      <c r="AA57" s="8" t="str">
        <f t="shared" si="10"/>
        <v/>
      </c>
      <c r="AB57" s="8" t="str">
        <f t="shared" si="11"/>
        <v/>
      </c>
      <c r="AD57">
        <v>195</v>
      </c>
      <c r="AE57">
        <v>8</v>
      </c>
      <c r="AF57">
        <v>5</v>
      </c>
      <c r="AG57" s="8" t="str">
        <f t="shared" si="12"/>
        <v/>
      </c>
      <c r="AH57" s="8" t="str">
        <f t="shared" si="13"/>
        <v/>
      </c>
      <c r="AI57" s="8" t="str">
        <f>VLOOKUP(AD57,Gender!$C$3:$D$454,2,FALSE)</f>
        <v>M</v>
      </c>
      <c r="AJ57" s="8" t="str">
        <f t="shared" si="14"/>
        <v/>
      </c>
      <c r="AK57" s="8" t="str">
        <f t="shared" si="15"/>
        <v/>
      </c>
    </row>
    <row r="58" spans="3:46" x14ac:dyDescent="0.25">
      <c r="C58">
        <v>45</v>
      </c>
      <c r="D58">
        <v>2</v>
      </c>
      <c r="E58">
        <v>1</v>
      </c>
      <c r="F58" s="8">
        <f t="shared" si="0"/>
        <v>0.26176311519740403</v>
      </c>
      <c r="H58" s="8" t="str">
        <f>VLOOKUP(C58,Gender!$C$3:$D$454,2,FALSE)</f>
        <v>M</v>
      </c>
      <c r="I58" s="8">
        <f t="shared" si="2"/>
        <v>1</v>
      </c>
      <c r="J58" s="8" t="str">
        <f t="shared" si="3"/>
        <v/>
      </c>
      <c r="L58">
        <v>54</v>
      </c>
      <c r="M58">
        <v>52</v>
      </c>
      <c r="N58">
        <v>2</v>
      </c>
      <c r="O58" s="8">
        <f t="shared" si="4"/>
        <v>2551.4245538128716</v>
      </c>
      <c r="P58" s="8">
        <f t="shared" si="5"/>
        <v>52</v>
      </c>
      <c r="Q58" s="8" t="str">
        <f>VLOOKUP(L58,Gender!$C$3:$D$454,2,FALSE)</f>
        <v>M</v>
      </c>
      <c r="R58" s="8">
        <f t="shared" si="6"/>
        <v>2</v>
      </c>
      <c r="S58" s="8" t="str">
        <f t="shared" si="7"/>
        <v/>
      </c>
      <c r="U58">
        <v>94</v>
      </c>
      <c r="V58">
        <v>18</v>
      </c>
      <c r="W58">
        <v>5</v>
      </c>
      <c r="X58" s="8" t="str">
        <f t="shared" si="8"/>
        <v/>
      </c>
      <c r="Y58" s="8" t="str">
        <f t="shared" si="9"/>
        <v/>
      </c>
      <c r="Z58" s="8" t="str">
        <f>VLOOKUP(U58,Gender!$C$3:$D$454,2,FALSE)</f>
        <v>M</v>
      </c>
      <c r="AA58" s="8" t="str">
        <f t="shared" si="10"/>
        <v/>
      </c>
      <c r="AB58" s="8" t="str">
        <f t="shared" si="11"/>
        <v/>
      </c>
      <c r="AD58">
        <v>200</v>
      </c>
      <c r="AE58">
        <v>12</v>
      </c>
      <c r="AF58">
        <v>4</v>
      </c>
      <c r="AG58" s="8">
        <f t="shared" si="12"/>
        <v>110.49432125473231</v>
      </c>
      <c r="AH58" s="8">
        <f t="shared" si="13"/>
        <v>12</v>
      </c>
      <c r="AI58" s="8" t="str">
        <f>VLOOKUP(AD58,Gender!$C$3:$D$454,2,FALSE)</f>
        <v>F</v>
      </c>
      <c r="AJ58" s="8" t="str">
        <f t="shared" si="14"/>
        <v/>
      </c>
      <c r="AK58" s="8">
        <f t="shared" si="15"/>
        <v>4</v>
      </c>
    </row>
    <row r="59" spans="3:46" x14ac:dyDescent="0.25">
      <c r="C59">
        <v>46</v>
      </c>
      <c r="D59">
        <v>1</v>
      </c>
      <c r="E59">
        <v>1</v>
      </c>
      <c r="F59" s="8">
        <f t="shared" si="0"/>
        <v>0.23850730124391561</v>
      </c>
      <c r="H59" s="8" t="str">
        <f>VLOOKUP(C59,Gender!$C$3:$D$454,2,FALSE)</f>
        <v>M</v>
      </c>
      <c r="I59" s="8">
        <f t="shared" si="2"/>
        <v>1</v>
      </c>
      <c r="J59" s="8" t="str">
        <f t="shared" si="3"/>
        <v/>
      </c>
      <c r="L59">
        <v>56</v>
      </c>
      <c r="M59">
        <v>23</v>
      </c>
      <c r="N59">
        <v>4</v>
      </c>
      <c r="O59" s="8" t="str">
        <f t="shared" si="4"/>
        <v/>
      </c>
      <c r="P59" s="8" t="str">
        <f t="shared" si="5"/>
        <v/>
      </c>
      <c r="Q59" s="8" t="str">
        <f>VLOOKUP(L59,Gender!$C$3:$D$454,2,FALSE)</f>
        <v>F</v>
      </c>
      <c r="R59" s="8" t="str">
        <f t="shared" si="6"/>
        <v/>
      </c>
      <c r="S59" s="8" t="str">
        <f t="shared" si="7"/>
        <v/>
      </c>
      <c r="U59">
        <v>96</v>
      </c>
      <c r="V59">
        <v>1</v>
      </c>
      <c r="W59">
        <v>3</v>
      </c>
      <c r="X59" s="8">
        <f t="shared" si="8"/>
        <v>0.23850730124391561</v>
      </c>
      <c r="Y59" s="8">
        <f t="shared" si="9"/>
        <v>1</v>
      </c>
      <c r="Z59" s="8" t="str">
        <f>VLOOKUP(U59,Gender!$C$3:$D$454,2,FALSE)</f>
        <v>M</v>
      </c>
      <c r="AA59" s="8">
        <f t="shared" si="10"/>
        <v>3</v>
      </c>
      <c r="AB59" s="8" t="str">
        <f t="shared" si="11"/>
        <v/>
      </c>
      <c r="AD59">
        <v>201</v>
      </c>
      <c r="AE59">
        <v>13</v>
      </c>
      <c r="AF59">
        <v>5</v>
      </c>
      <c r="AG59" s="8" t="str">
        <f t="shared" si="12"/>
        <v/>
      </c>
      <c r="AH59" s="8" t="str">
        <f t="shared" si="13"/>
        <v/>
      </c>
      <c r="AI59" s="8" t="str">
        <f>VLOOKUP(AD59,Gender!$C$3:$D$454,2,FALSE)</f>
        <v>F</v>
      </c>
      <c r="AJ59" s="8" t="str">
        <f t="shared" si="14"/>
        <v/>
      </c>
      <c r="AK59" s="8" t="str">
        <f t="shared" si="15"/>
        <v/>
      </c>
    </row>
    <row r="60" spans="3:46" x14ac:dyDescent="0.25">
      <c r="C60">
        <v>47</v>
      </c>
      <c r="D60">
        <v>1</v>
      </c>
      <c r="E60">
        <v>1</v>
      </c>
      <c r="F60" s="8">
        <f t="shared" si="0"/>
        <v>0.23850730124391561</v>
      </c>
      <c r="H60" s="8" t="str">
        <f>VLOOKUP(C60,Gender!$C$3:$D$454,2,FALSE)</f>
        <v>F</v>
      </c>
      <c r="I60" s="8" t="str">
        <f t="shared" si="2"/>
        <v/>
      </c>
      <c r="J60" s="8">
        <f t="shared" si="3"/>
        <v>1</v>
      </c>
      <c r="L60">
        <v>58</v>
      </c>
      <c r="M60">
        <v>1</v>
      </c>
      <c r="N60">
        <v>3</v>
      </c>
      <c r="O60" s="8" t="str">
        <f t="shared" si="4"/>
        <v/>
      </c>
      <c r="P60" s="8" t="str">
        <f t="shared" si="5"/>
        <v/>
      </c>
      <c r="Q60" s="8" t="str">
        <f>VLOOKUP(L60,Gender!$C$3:$D$454,2,FALSE)</f>
        <v>M</v>
      </c>
      <c r="R60" s="8" t="str">
        <f t="shared" si="6"/>
        <v/>
      </c>
      <c r="S60" s="8" t="str">
        <f t="shared" si="7"/>
        <v/>
      </c>
      <c r="U60">
        <v>98</v>
      </c>
      <c r="V60">
        <v>6</v>
      </c>
      <c r="W60">
        <v>5</v>
      </c>
      <c r="X60" s="8" t="str">
        <f t="shared" si="8"/>
        <v/>
      </c>
      <c r="Y60" s="8" t="str">
        <f t="shared" si="9"/>
        <v/>
      </c>
      <c r="Z60" s="8" t="str">
        <f>VLOOKUP(U60,Gender!$C$3:$D$454,2,FALSE)</f>
        <v>F</v>
      </c>
      <c r="AA60" s="8" t="str">
        <f t="shared" si="10"/>
        <v/>
      </c>
      <c r="AB60" s="8" t="str">
        <f t="shared" si="11"/>
        <v/>
      </c>
      <c r="AD60">
        <v>213</v>
      </c>
      <c r="AE60">
        <v>10</v>
      </c>
      <c r="AF60">
        <v>5</v>
      </c>
      <c r="AG60" s="8" t="str">
        <f t="shared" si="12"/>
        <v/>
      </c>
      <c r="AH60" s="8" t="str">
        <f t="shared" si="13"/>
        <v/>
      </c>
      <c r="AI60" s="8" t="str">
        <f>VLOOKUP(AD60,Gender!$C$3:$D$454,2,FALSE)</f>
        <v>M</v>
      </c>
      <c r="AJ60" s="8" t="str">
        <f t="shared" si="14"/>
        <v/>
      </c>
      <c r="AK60" s="8" t="str">
        <f t="shared" si="15"/>
        <v/>
      </c>
    </row>
    <row r="61" spans="3:46" x14ac:dyDescent="0.25">
      <c r="C61">
        <v>48</v>
      </c>
      <c r="D61">
        <v>1</v>
      </c>
      <c r="E61">
        <v>1</v>
      </c>
      <c r="F61" s="8">
        <f t="shared" si="0"/>
        <v>0.23850730124391561</v>
      </c>
      <c r="H61" s="8" t="str">
        <f>VLOOKUP(C61,Gender!$C$3:$D$454,2,FALSE)</f>
        <v>M</v>
      </c>
      <c r="I61" s="8">
        <f t="shared" si="2"/>
        <v>1</v>
      </c>
      <c r="J61" s="8" t="str">
        <f t="shared" si="3"/>
        <v/>
      </c>
      <c r="L61">
        <v>60</v>
      </c>
      <c r="M61">
        <v>30</v>
      </c>
      <c r="N61">
        <v>3</v>
      </c>
      <c r="O61" s="8" t="str">
        <f t="shared" si="4"/>
        <v/>
      </c>
      <c r="P61" s="8" t="str">
        <f t="shared" si="5"/>
        <v/>
      </c>
      <c r="Q61" s="8" t="str">
        <f>VLOOKUP(L61,Gender!$C$3:$D$454,2,FALSE)</f>
        <v>M</v>
      </c>
      <c r="R61" s="8" t="str">
        <f t="shared" si="6"/>
        <v/>
      </c>
      <c r="S61" s="8" t="str">
        <f t="shared" si="7"/>
        <v/>
      </c>
      <c r="U61">
        <v>99</v>
      </c>
      <c r="V61">
        <v>25</v>
      </c>
      <c r="W61">
        <v>3</v>
      </c>
      <c r="X61" s="8">
        <f t="shared" si="8"/>
        <v>552.79664683612771</v>
      </c>
      <c r="Y61" s="8">
        <f t="shared" si="9"/>
        <v>25</v>
      </c>
      <c r="Z61" s="8" t="str">
        <f>VLOOKUP(U61,Gender!$C$3:$D$454,2,FALSE)</f>
        <v>M</v>
      </c>
      <c r="AA61" s="8">
        <f t="shared" si="10"/>
        <v>3</v>
      </c>
      <c r="AB61" s="8" t="str">
        <f t="shared" si="11"/>
        <v/>
      </c>
      <c r="AD61">
        <v>221</v>
      </c>
      <c r="AE61">
        <v>14</v>
      </c>
      <c r="AF61">
        <v>4</v>
      </c>
      <c r="AG61" s="8">
        <f t="shared" si="12"/>
        <v>156.54083288263928</v>
      </c>
      <c r="AH61" s="8">
        <f t="shared" si="13"/>
        <v>14</v>
      </c>
      <c r="AI61" s="8" t="str">
        <f>VLOOKUP(AD61,Gender!$C$3:$D$454,2,FALSE)</f>
        <v>M</v>
      </c>
      <c r="AJ61" s="8">
        <f t="shared" si="14"/>
        <v>4</v>
      </c>
      <c r="AK61" s="8" t="str">
        <f t="shared" si="15"/>
        <v/>
      </c>
    </row>
    <row r="62" spans="3:46" x14ac:dyDescent="0.25">
      <c r="C62">
        <v>49</v>
      </c>
      <c r="D62">
        <v>1</v>
      </c>
      <c r="E62">
        <v>1</v>
      </c>
      <c r="F62" s="8">
        <f t="shared" si="0"/>
        <v>0.23850730124391561</v>
      </c>
      <c r="H62" s="8" t="str">
        <f>VLOOKUP(C62,Gender!$C$3:$D$454,2,FALSE)</f>
        <v>M</v>
      </c>
      <c r="I62" s="8">
        <f t="shared" si="2"/>
        <v>1</v>
      </c>
      <c r="J62" s="8" t="str">
        <f t="shared" si="3"/>
        <v/>
      </c>
      <c r="L62">
        <v>62</v>
      </c>
      <c r="M62">
        <v>119</v>
      </c>
      <c r="N62">
        <v>3</v>
      </c>
      <c r="O62" s="8" t="str">
        <f t="shared" si="4"/>
        <v/>
      </c>
      <c r="P62" s="8" t="str">
        <f t="shared" si="5"/>
        <v/>
      </c>
      <c r="Q62" s="8" t="str">
        <f>VLOOKUP(L62,Gender!$C$3:$D$454,2,FALSE)</f>
        <v>M</v>
      </c>
      <c r="R62" s="8" t="str">
        <f t="shared" si="6"/>
        <v/>
      </c>
      <c r="S62" s="8" t="str">
        <f t="shared" si="7"/>
        <v/>
      </c>
      <c r="U62">
        <v>103</v>
      </c>
      <c r="V62">
        <v>17</v>
      </c>
      <c r="W62">
        <v>3</v>
      </c>
      <c r="X62" s="8">
        <f t="shared" si="8"/>
        <v>240.61060032449976</v>
      </c>
      <c r="Y62" s="8">
        <f t="shared" si="9"/>
        <v>17</v>
      </c>
      <c r="Z62" s="8" t="str">
        <f>VLOOKUP(U62,Gender!$C$3:$D$454,2,FALSE)</f>
        <v>M</v>
      </c>
      <c r="AA62" s="8">
        <f t="shared" si="10"/>
        <v>3</v>
      </c>
      <c r="AB62" s="8" t="str">
        <f t="shared" si="11"/>
        <v/>
      </c>
      <c r="AD62">
        <v>230</v>
      </c>
      <c r="AE62">
        <v>38</v>
      </c>
      <c r="AF62">
        <v>5</v>
      </c>
      <c r="AG62" s="8" t="str">
        <f t="shared" si="12"/>
        <v/>
      </c>
      <c r="AH62" s="8" t="str">
        <f t="shared" si="13"/>
        <v/>
      </c>
      <c r="AI62" s="8" t="str">
        <f>VLOOKUP(AD62,Gender!$C$3:$D$454,2,FALSE)</f>
        <v>M</v>
      </c>
      <c r="AJ62" s="8" t="str">
        <f t="shared" si="14"/>
        <v/>
      </c>
      <c r="AK62" s="8" t="str">
        <f t="shared" si="15"/>
        <v/>
      </c>
    </row>
    <row r="63" spans="3:46" x14ac:dyDescent="0.25">
      <c r="C63">
        <v>50</v>
      </c>
      <c r="D63">
        <v>1</v>
      </c>
      <c r="E63">
        <v>1</v>
      </c>
      <c r="F63" s="8">
        <f t="shared" si="0"/>
        <v>0.23850730124391561</v>
      </c>
      <c r="H63" s="8" t="str">
        <f>VLOOKUP(C63,Gender!$C$3:$D$454,2,FALSE)</f>
        <v>F</v>
      </c>
      <c r="I63" s="8" t="str">
        <f t="shared" si="2"/>
        <v/>
      </c>
      <c r="J63" s="8">
        <f t="shared" si="3"/>
        <v>1</v>
      </c>
      <c r="L63">
        <v>63</v>
      </c>
      <c r="M63">
        <v>1</v>
      </c>
      <c r="N63">
        <v>2</v>
      </c>
      <c r="O63" s="8">
        <f t="shared" si="4"/>
        <v>0.23850730124391561</v>
      </c>
      <c r="P63" s="8">
        <f t="shared" si="5"/>
        <v>1</v>
      </c>
      <c r="Q63" s="8" t="str">
        <f>VLOOKUP(L63,Gender!$C$3:$D$454,2,FALSE)</f>
        <v>M</v>
      </c>
      <c r="R63" s="8">
        <f t="shared" si="6"/>
        <v>2</v>
      </c>
      <c r="S63" s="8" t="str">
        <f t="shared" si="7"/>
        <v/>
      </c>
      <c r="U63">
        <v>104</v>
      </c>
      <c r="V63">
        <v>7</v>
      </c>
      <c r="W63">
        <v>5</v>
      </c>
      <c r="X63" s="8" t="str">
        <f t="shared" si="8"/>
        <v/>
      </c>
      <c r="Y63" s="8" t="str">
        <f t="shared" si="9"/>
        <v/>
      </c>
      <c r="Z63" s="8" t="str">
        <f>VLOOKUP(U63,Gender!$C$3:$D$454,2,FALSE)</f>
        <v>F</v>
      </c>
      <c r="AA63" s="8" t="str">
        <f t="shared" si="10"/>
        <v/>
      </c>
      <c r="AB63" s="8" t="str">
        <f t="shared" si="11"/>
        <v/>
      </c>
      <c r="AD63">
        <v>236</v>
      </c>
      <c r="AE63">
        <v>51</v>
      </c>
      <c r="AF63">
        <v>5</v>
      </c>
      <c r="AG63" s="8" t="str">
        <f t="shared" si="12"/>
        <v/>
      </c>
      <c r="AH63" s="8" t="str">
        <f t="shared" si="13"/>
        <v/>
      </c>
      <c r="AI63" s="8" t="str">
        <f>VLOOKUP(AD63,Gender!$C$3:$D$454,2,FALSE)</f>
        <v>M</v>
      </c>
      <c r="AJ63" s="8" t="str">
        <f t="shared" si="14"/>
        <v/>
      </c>
      <c r="AK63" s="8" t="str">
        <f t="shared" si="15"/>
        <v/>
      </c>
    </row>
    <row r="64" spans="3:46" x14ac:dyDescent="0.25">
      <c r="C64">
        <v>51</v>
      </c>
      <c r="D64">
        <v>1</v>
      </c>
      <c r="E64">
        <v>1</v>
      </c>
      <c r="F64" s="8">
        <f t="shared" si="0"/>
        <v>0.23850730124391561</v>
      </c>
      <c r="H64" s="8" t="str">
        <f>VLOOKUP(C64,Gender!$C$3:$D$454,2,FALSE)</f>
        <v>M</v>
      </c>
      <c r="I64" s="8">
        <f t="shared" si="2"/>
        <v>1</v>
      </c>
      <c r="J64" s="8" t="str">
        <f t="shared" si="3"/>
        <v/>
      </c>
      <c r="L64">
        <v>64</v>
      </c>
      <c r="M64">
        <v>200</v>
      </c>
      <c r="N64">
        <v>2</v>
      </c>
      <c r="O64" s="8">
        <f t="shared" si="4"/>
        <v>39406.866414277989</v>
      </c>
      <c r="P64" s="8">
        <f t="shared" si="5"/>
        <v>200</v>
      </c>
      <c r="Q64" s="8" t="str">
        <f>VLOOKUP(L64,Gender!$C$3:$D$454,2,FALSE)</f>
        <v>M</v>
      </c>
      <c r="R64" s="8">
        <f t="shared" si="6"/>
        <v>2</v>
      </c>
      <c r="S64" s="8" t="str">
        <f t="shared" si="7"/>
        <v/>
      </c>
      <c r="U64">
        <v>105</v>
      </c>
      <c r="V64">
        <v>12</v>
      </c>
      <c r="W64">
        <v>5</v>
      </c>
      <c r="X64" s="8" t="str">
        <f t="shared" si="8"/>
        <v/>
      </c>
      <c r="Y64" s="8" t="str">
        <f t="shared" si="9"/>
        <v/>
      </c>
      <c r="Z64" s="8" t="str">
        <f>VLOOKUP(U64,Gender!$C$3:$D$454,2,FALSE)</f>
        <v>F</v>
      </c>
      <c r="AA64" s="8" t="str">
        <f t="shared" si="10"/>
        <v/>
      </c>
      <c r="AB64" s="8" t="str">
        <f t="shared" si="11"/>
        <v/>
      </c>
      <c r="AD64">
        <v>238</v>
      </c>
      <c r="AE64">
        <v>26</v>
      </c>
      <c r="AF64">
        <v>5</v>
      </c>
      <c r="AG64" s="8" t="str">
        <f t="shared" si="12"/>
        <v/>
      </c>
      <c r="AH64" s="8" t="str">
        <f t="shared" si="13"/>
        <v/>
      </c>
      <c r="AI64" s="8" t="str">
        <f>VLOOKUP(AD64,Gender!$C$3:$D$454,2,FALSE)</f>
        <v>F</v>
      </c>
      <c r="AJ64" s="8" t="str">
        <f t="shared" si="14"/>
        <v/>
      </c>
      <c r="AK64" s="8" t="str">
        <f t="shared" si="15"/>
        <v/>
      </c>
    </row>
    <row r="65" spans="3:37" x14ac:dyDescent="0.25">
      <c r="C65">
        <v>52</v>
      </c>
      <c r="D65">
        <v>1</v>
      </c>
      <c r="E65">
        <v>1</v>
      </c>
      <c r="F65" s="8">
        <f t="shared" si="0"/>
        <v>0.23850730124391561</v>
      </c>
      <c r="H65" s="8" t="str">
        <f>VLOOKUP(C65,Gender!$C$3:$D$454,2,FALSE)</f>
        <v>F</v>
      </c>
      <c r="I65" s="8" t="str">
        <f t="shared" si="2"/>
        <v/>
      </c>
      <c r="J65" s="8">
        <f t="shared" si="3"/>
        <v>1</v>
      </c>
      <c r="L65">
        <v>66</v>
      </c>
      <c r="M65">
        <v>1</v>
      </c>
      <c r="N65">
        <v>3</v>
      </c>
      <c r="O65" s="8" t="str">
        <f t="shared" si="4"/>
        <v/>
      </c>
      <c r="P65" s="8" t="str">
        <f t="shared" si="5"/>
        <v/>
      </c>
      <c r="Q65" s="8" t="str">
        <f>VLOOKUP(L65,Gender!$C$3:$D$454,2,FALSE)</f>
        <v>F</v>
      </c>
      <c r="R65" s="8" t="str">
        <f t="shared" si="6"/>
        <v/>
      </c>
      <c r="S65" s="8" t="str">
        <f t="shared" si="7"/>
        <v/>
      </c>
      <c r="U65">
        <v>107</v>
      </c>
      <c r="V65">
        <v>60</v>
      </c>
      <c r="W65">
        <v>3</v>
      </c>
      <c r="X65" s="8">
        <f t="shared" si="8"/>
        <v>3423.6106003244995</v>
      </c>
      <c r="Y65" s="8">
        <f t="shared" si="9"/>
        <v>60</v>
      </c>
      <c r="Z65" s="8" t="str">
        <f>VLOOKUP(U65,Gender!$C$3:$D$454,2,FALSE)</f>
        <v>M</v>
      </c>
      <c r="AA65" s="8">
        <f t="shared" si="10"/>
        <v>3</v>
      </c>
      <c r="AB65" s="8" t="str">
        <f t="shared" si="11"/>
        <v/>
      </c>
      <c r="AD65">
        <v>240</v>
      </c>
      <c r="AE65">
        <v>27</v>
      </c>
      <c r="AF65">
        <v>5</v>
      </c>
      <c r="AG65" s="8" t="str">
        <f t="shared" si="12"/>
        <v/>
      </c>
      <c r="AH65" s="8" t="str">
        <f t="shared" si="13"/>
        <v/>
      </c>
      <c r="AI65" s="8" t="str">
        <f>VLOOKUP(AD65,Gender!$C$3:$D$454,2,FALSE)</f>
        <v>F</v>
      </c>
      <c r="AJ65" s="8" t="str">
        <f t="shared" si="14"/>
        <v/>
      </c>
      <c r="AK65" s="8" t="str">
        <f t="shared" si="15"/>
        <v/>
      </c>
    </row>
    <row r="66" spans="3:37" x14ac:dyDescent="0.25">
      <c r="C66">
        <v>53</v>
      </c>
      <c r="D66">
        <v>1</v>
      </c>
      <c r="E66">
        <v>1</v>
      </c>
      <c r="F66" s="8">
        <f t="shared" si="0"/>
        <v>0.23850730124391561</v>
      </c>
      <c r="H66" s="8" t="str">
        <f>VLOOKUP(C66,Gender!$C$3:$D$454,2,FALSE)</f>
        <v>F</v>
      </c>
      <c r="I66" s="8" t="str">
        <f t="shared" si="2"/>
        <v/>
      </c>
      <c r="J66" s="8">
        <f t="shared" si="3"/>
        <v>1</v>
      </c>
      <c r="L66">
        <v>69</v>
      </c>
      <c r="M66">
        <v>27</v>
      </c>
      <c r="N66">
        <v>3</v>
      </c>
      <c r="O66" s="8" t="str">
        <f t="shared" si="4"/>
        <v/>
      </c>
      <c r="P66" s="8" t="str">
        <f t="shared" si="5"/>
        <v/>
      </c>
      <c r="Q66" s="8" t="str">
        <f>VLOOKUP(L66,Gender!$C$3:$D$454,2,FALSE)</f>
        <v>F</v>
      </c>
      <c r="R66" s="8" t="str">
        <f t="shared" si="6"/>
        <v/>
      </c>
      <c r="S66" s="8" t="str">
        <f t="shared" si="7"/>
        <v/>
      </c>
      <c r="U66">
        <v>108</v>
      </c>
      <c r="V66">
        <v>33</v>
      </c>
      <c r="W66">
        <v>3</v>
      </c>
      <c r="X66" s="8">
        <f t="shared" si="8"/>
        <v>992.98269334775557</v>
      </c>
      <c r="Y66" s="8">
        <f t="shared" si="9"/>
        <v>33</v>
      </c>
      <c r="Z66" s="8" t="str">
        <f>VLOOKUP(U66,Gender!$C$3:$D$454,2,FALSE)</f>
        <v>M</v>
      </c>
      <c r="AA66" s="8">
        <f t="shared" si="10"/>
        <v>3</v>
      </c>
      <c r="AB66" s="8" t="str">
        <f t="shared" si="11"/>
        <v/>
      </c>
      <c r="AD66">
        <v>242</v>
      </c>
      <c r="AE66">
        <v>77</v>
      </c>
      <c r="AF66">
        <v>5</v>
      </c>
      <c r="AG66" s="8" t="str">
        <f t="shared" si="12"/>
        <v/>
      </c>
      <c r="AH66" s="8" t="str">
        <f t="shared" si="13"/>
        <v/>
      </c>
      <c r="AI66" s="8" t="str">
        <f>VLOOKUP(AD66,Gender!$C$3:$D$454,2,FALSE)</f>
        <v>M</v>
      </c>
      <c r="AJ66" s="8" t="str">
        <f t="shared" si="14"/>
        <v/>
      </c>
      <c r="AK66" s="8" t="str">
        <f t="shared" si="15"/>
        <v/>
      </c>
    </row>
    <row r="67" spans="3:37" x14ac:dyDescent="0.25">
      <c r="C67">
        <v>54</v>
      </c>
      <c r="D67">
        <v>1</v>
      </c>
      <c r="E67">
        <v>1</v>
      </c>
      <c r="F67" s="8">
        <f t="shared" si="0"/>
        <v>0.23850730124391561</v>
      </c>
      <c r="H67" s="8" t="str">
        <f>VLOOKUP(C67,Gender!$C$3:$D$454,2,FALSE)</f>
        <v>M</v>
      </c>
      <c r="I67" s="8">
        <f t="shared" si="2"/>
        <v>1</v>
      </c>
      <c r="J67" s="8" t="str">
        <f t="shared" si="3"/>
        <v/>
      </c>
      <c r="L67">
        <v>70</v>
      </c>
      <c r="M67">
        <v>28</v>
      </c>
      <c r="N67">
        <v>2</v>
      </c>
      <c r="O67" s="8">
        <f t="shared" si="4"/>
        <v>702.86641427798816</v>
      </c>
      <c r="P67" s="8">
        <f t="shared" si="5"/>
        <v>28</v>
      </c>
      <c r="Q67" s="8" t="str">
        <f>VLOOKUP(L67,Gender!$C$3:$D$454,2,FALSE)</f>
        <v>M</v>
      </c>
      <c r="R67" s="8">
        <f t="shared" si="6"/>
        <v>2</v>
      </c>
      <c r="S67" s="8" t="str">
        <f t="shared" si="7"/>
        <v/>
      </c>
      <c r="U67">
        <v>111</v>
      </c>
      <c r="V67">
        <v>8</v>
      </c>
      <c r="W67">
        <v>3</v>
      </c>
      <c r="X67" s="8">
        <f t="shared" si="8"/>
        <v>42.401297998918338</v>
      </c>
      <c r="Y67" s="8">
        <f t="shared" si="9"/>
        <v>8</v>
      </c>
      <c r="Z67" s="8" t="str">
        <f>VLOOKUP(U67,Gender!$C$3:$D$454,2,FALSE)</f>
        <v>M</v>
      </c>
      <c r="AA67" s="8">
        <f t="shared" si="10"/>
        <v>3</v>
      </c>
      <c r="AB67" s="8" t="str">
        <f t="shared" si="11"/>
        <v/>
      </c>
      <c r="AD67">
        <v>243</v>
      </c>
      <c r="AE67">
        <v>11</v>
      </c>
      <c r="AF67">
        <v>4</v>
      </c>
      <c r="AG67" s="8">
        <f t="shared" si="12"/>
        <v>90.471065440778816</v>
      </c>
      <c r="AH67" s="8">
        <f t="shared" si="13"/>
        <v>11</v>
      </c>
      <c r="AI67" s="8" t="str">
        <f>VLOOKUP(AD67,Gender!$C$3:$D$454,2,FALSE)</f>
        <v>M</v>
      </c>
      <c r="AJ67" s="8">
        <f t="shared" si="14"/>
        <v>4</v>
      </c>
      <c r="AK67" s="8" t="str">
        <f t="shared" si="15"/>
        <v/>
      </c>
    </row>
    <row r="68" spans="3:37" x14ac:dyDescent="0.25">
      <c r="C68">
        <v>55</v>
      </c>
      <c r="D68">
        <v>1</v>
      </c>
      <c r="E68">
        <v>1</v>
      </c>
      <c r="F68" s="8">
        <f t="shared" si="0"/>
        <v>0.23850730124391561</v>
      </c>
      <c r="H68" s="8" t="str">
        <f>VLOOKUP(C68,Gender!$C$3:$D$454,2,FALSE)</f>
        <v>M</v>
      </c>
      <c r="I68" s="8">
        <f t="shared" si="2"/>
        <v>1</v>
      </c>
      <c r="J68" s="8" t="str">
        <f t="shared" si="3"/>
        <v/>
      </c>
      <c r="L68">
        <v>71</v>
      </c>
      <c r="M68">
        <v>1</v>
      </c>
      <c r="N68">
        <v>4</v>
      </c>
      <c r="O68" s="8" t="str">
        <f t="shared" si="4"/>
        <v/>
      </c>
      <c r="P68" s="8" t="str">
        <f t="shared" si="5"/>
        <v/>
      </c>
      <c r="Q68" s="8" t="str">
        <f>VLOOKUP(L68,Gender!$C$3:$D$454,2,FALSE)</f>
        <v>M</v>
      </c>
      <c r="R68" s="8" t="str">
        <f t="shared" si="6"/>
        <v/>
      </c>
      <c r="S68" s="8" t="str">
        <f t="shared" si="7"/>
        <v/>
      </c>
      <c r="U68">
        <v>114</v>
      </c>
      <c r="V68">
        <v>27</v>
      </c>
      <c r="W68">
        <v>4</v>
      </c>
      <c r="X68" s="8" t="str">
        <f t="shared" si="8"/>
        <v/>
      </c>
      <c r="Y68" s="8" t="str">
        <f t="shared" si="9"/>
        <v/>
      </c>
      <c r="Z68" s="8" t="str">
        <f>VLOOKUP(U68,Gender!$C$3:$D$454,2,FALSE)</f>
        <v>M</v>
      </c>
      <c r="AA68" s="8" t="str">
        <f t="shared" si="10"/>
        <v/>
      </c>
      <c r="AB68" s="8" t="str">
        <f t="shared" si="11"/>
        <v/>
      </c>
      <c r="AD68">
        <v>246</v>
      </c>
      <c r="AE68">
        <v>23</v>
      </c>
      <c r="AF68">
        <v>5</v>
      </c>
      <c r="AG68" s="8" t="str">
        <f t="shared" si="12"/>
        <v/>
      </c>
      <c r="AH68" s="8" t="str">
        <f t="shared" si="13"/>
        <v/>
      </c>
      <c r="AI68" s="8" t="str">
        <f>VLOOKUP(AD68,Gender!$C$3:$D$454,2,FALSE)</f>
        <v>M</v>
      </c>
      <c r="AJ68" s="8" t="str">
        <f t="shared" si="14"/>
        <v/>
      </c>
      <c r="AK68" s="8" t="str">
        <f t="shared" si="15"/>
        <v/>
      </c>
    </row>
    <row r="69" spans="3:37" x14ac:dyDescent="0.25">
      <c r="C69">
        <v>56</v>
      </c>
      <c r="D69">
        <v>1</v>
      </c>
      <c r="E69">
        <v>1</v>
      </c>
      <c r="F69" s="8">
        <f t="shared" si="0"/>
        <v>0.23850730124391561</v>
      </c>
      <c r="H69" s="8" t="str">
        <f>VLOOKUP(C69,Gender!$C$3:$D$454,2,FALSE)</f>
        <v>F</v>
      </c>
      <c r="I69" s="8" t="str">
        <f t="shared" si="2"/>
        <v/>
      </c>
      <c r="J69" s="8">
        <f t="shared" si="3"/>
        <v>1</v>
      </c>
      <c r="L69">
        <v>73</v>
      </c>
      <c r="M69">
        <v>30</v>
      </c>
      <c r="N69">
        <v>3</v>
      </c>
      <c r="O69" s="8" t="str">
        <f t="shared" si="4"/>
        <v/>
      </c>
      <c r="P69" s="8" t="str">
        <f t="shared" si="5"/>
        <v/>
      </c>
      <c r="Q69" s="8" t="str">
        <f>VLOOKUP(L69,Gender!$C$3:$D$454,2,FALSE)</f>
        <v>M</v>
      </c>
      <c r="R69" s="8" t="str">
        <f t="shared" si="6"/>
        <v/>
      </c>
      <c r="S69" s="8" t="str">
        <f t="shared" si="7"/>
        <v/>
      </c>
      <c r="U69">
        <v>117</v>
      </c>
      <c r="V69">
        <v>30</v>
      </c>
      <c r="W69">
        <v>3</v>
      </c>
      <c r="X69" s="8">
        <f t="shared" si="8"/>
        <v>812.91292590589512</v>
      </c>
      <c r="Y69" s="8">
        <f t="shared" si="9"/>
        <v>30</v>
      </c>
      <c r="Z69" s="8" t="str">
        <f>VLOOKUP(U69,Gender!$C$3:$D$454,2,FALSE)</f>
        <v>M</v>
      </c>
      <c r="AA69" s="8">
        <f t="shared" si="10"/>
        <v>3</v>
      </c>
      <c r="AB69" s="8" t="str">
        <f t="shared" si="11"/>
        <v/>
      </c>
      <c r="AD69">
        <v>253</v>
      </c>
      <c r="AE69">
        <v>60</v>
      </c>
      <c r="AF69">
        <v>4</v>
      </c>
      <c r="AG69" s="8">
        <f t="shared" si="12"/>
        <v>3423.6106003244995</v>
      </c>
      <c r="AH69" s="8">
        <f t="shared" si="13"/>
        <v>60</v>
      </c>
      <c r="AI69" s="8" t="str">
        <f>VLOOKUP(AD69,Gender!$C$3:$D$454,2,FALSE)</f>
        <v>M</v>
      </c>
      <c r="AJ69" s="8">
        <f t="shared" si="14"/>
        <v>4</v>
      </c>
      <c r="AK69" s="8" t="str">
        <f t="shared" si="15"/>
        <v/>
      </c>
    </row>
    <row r="70" spans="3:37" x14ac:dyDescent="0.25">
      <c r="C70">
        <v>57</v>
      </c>
      <c r="D70">
        <v>1</v>
      </c>
      <c r="E70">
        <v>1</v>
      </c>
      <c r="F70" s="8">
        <f t="shared" si="0"/>
        <v>0.23850730124391561</v>
      </c>
      <c r="H70" s="8" t="str">
        <f>VLOOKUP(C70,Gender!$C$3:$D$454,2,FALSE)</f>
        <v>F</v>
      </c>
      <c r="I70" s="8" t="str">
        <f t="shared" si="2"/>
        <v/>
      </c>
      <c r="J70" s="8">
        <f t="shared" si="3"/>
        <v>1</v>
      </c>
      <c r="L70">
        <v>74</v>
      </c>
      <c r="M70">
        <v>24</v>
      </c>
      <c r="N70">
        <v>3</v>
      </c>
      <c r="O70" s="8" t="str">
        <f t="shared" si="4"/>
        <v/>
      </c>
      <c r="P70" s="8" t="str">
        <f t="shared" si="5"/>
        <v/>
      </c>
      <c r="Q70" s="8" t="str">
        <f>VLOOKUP(L70,Gender!$C$3:$D$454,2,FALSE)</f>
        <v>M</v>
      </c>
      <c r="R70" s="8" t="str">
        <f t="shared" si="6"/>
        <v/>
      </c>
      <c r="S70" s="8" t="str">
        <f t="shared" si="7"/>
        <v/>
      </c>
      <c r="U70">
        <v>119</v>
      </c>
      <c r="V70">
        <v>13</v>
      </c>
      <c r="W70">
        <v>4</v>
      </c>
      <c r="X70" s="8" t="str">
        <f t="shared" si="8"/>
        <v/>
      </c>
      <c r="Y70" s="8" t="str">
        <f t="shared" si="9"/>
        <v/>
      </c>
      <c r="Z70" s="8" t="str">
        <f>VLOOKUP(U70,Gender!$C$3:$D$454,2,FALSE)</f>
        <v>M</v>
      </c>
      <c r="AA70" s="8" t="str">
        <f t="shared" si="10"/>
        <v/>
      </c>
      <c r="AB70" s="8" t="str">
        <f t="shared" si="11"/>
        <v/>
      </c>
      <c r="AD70">
        <v>255</v>
      </c>
      <c r="AE70">
        <v>13</v>
      </c>
      <c r="AF70">
        <v>4</v>
      </c>
      <c r="AG70" s="8">
        <f t="shared" si="12"/>
        <v>132.5175770686858</v>
      </c>
      <c r="AH70" s="8">
        <f t="shared" si="13"/>
        <v>13</v>
      </c>
      <c r="AI70" s="8" t="str">
        <f>VLOOKUP(AD70,Gender!$C$3:$D$454,2,FALSE)</f>
        <v>M</v>
      </c>
      <c r="AJ70" s="8">
        <f t="shared" si="14"/>
        <v>4</v>
      </c>
      <c r="AK70" s="8" t="str">
        <f t="shared" si="15"/>
        <v/>
      </c>
    </row>
    <row r="71" spans="3:37" x14ac:dyDescent="0.25">
      <c r="C71">
        <v>58</v>
      </c>
      <c r="D71">
        <v>1</v>
      </c>
      <c r="E71">
        <v>3</v>
      </c>
      <c r="F71" s="8" t="str">
        <f t="shared" si="0"/>
        <v/>
      </c>
      <c r="H71" s="8" t="str">
        <f>VLOOKUP(C71,Gender!$C$3:$D$454,2,FALSE)</f>
        <v>M</v>
      </c>
      <c r="I71" s="8" t="str">
        <f t="shared" si="2"/>
        <v/>
      </c>
      <c r="J71" s="8" t="str">
        <f t="shared" si="3"/>
        <v/>
      </c>
      <c r="L71">
        <v>75</v>
      </c>
      <c r="M71">
        <v>128</v>
      </c>
      <c r="N71">
        <v>3</v>
      </c>
      <c r="O71" s="8" t="str">
        <f t="shared" si="4"/>
        <v/>
      </c>
      <c r="P71" s="8" t="str">
        <f t="shared" si="5"/>
        <v/>
      </c>
      <c r="Q71" s="8" t="str">
        <f>VLOOKUP(L71,Gender!$C$3:$D$454,2,FALSE)</f>
        <v>M</v>
      </c>
      <c r="R71" s="8" t="str">
        <f t="shared" si="6"/>
        <v/>
      </c>
      <c r="S71" s="8" t="str">
        <f t="shared" si="7"/>
        <v/>
      </c>
      <c r="U71">
        <v>121</v>
      </c>
      <c r="V71">
        <v>120</v>
      </c>
      <c r="W71">
        <v>3</v>
      </c>
      <c r="X71" s="8">
        <f t="shared" si="8"/>
        <v>14045.005949161708</v>
      </c>
      <c r="Y71" s="8">
        <f t="shared" si="9"/>
        <v>120</v>
      </c>
      <c r="Z71" s="8" t="str">
        <f>VLOOKUP(U71,Gender!$C$3:$D$454,2,FALSE)</f>
        <v>M</v>
      </c>
      <c r="AA71" s="8">
        <f t="shared" si="10"/>
        <v>3</v>
      </c>
      <c r="AB71" s="8" t="str">
        <f t="shared" si="11"/>
        <v/>
      </c>
      <c r="AD71">
        <v>259</v>
      </c>
      <c r="AE71">
        <v>48</v>
      </c>
      <c r="AF71">
        <v>5</v>
      </c>
      <c r="AG71" s="8" t="str">
        <f t="shared" si="12"/>
        <v/>
      </c>
      <c r="AH71" s="8" t="str">
        <f t="shared" si="13"/>
        <v/>
      </c>
      <c r="AI71" s="8" t="str">
        <f>VLOOKUP(AD71,Gender!$C$3:$D$454,2,FALSE)</f>
        <v>M</v>
      </c>
      <c r="AJ71" s="8" t="str">
        <f t="shared" si="14"/>
        <v/>
      </c>
      <c r="AK71" s="8" t="str">
        <f t="shared" si="15"/>
        <v/>
      </c>
    </row>
    <row r="72" spans="3:37" x14ac:dyDescent="0.25">
      <c r="C72">
        <v>59</v>
      </c>
      <c r="D72">
        <v>16</v>
      </c>
      <c r="E72">
        <v>1</v>
      </c>
      <c r="F72" s="8">
        <f t="shared" si="0"/>
        <v>210.58734451054627</v>
      </c>
      <c r="H72" s="8" t="str">
        <f>VLOOKUP(C72,Gender!$C$3:$D$454,2,FALSE)</f>
        <v>M</v>
      </c>
      <c r="I72" s="8">
        <f t="shared" si="2"/>
        <v>1</v>
      </c>
      <c r="J72" s="8" t="str">
        <f t="shared" si="3"/>
        <v/>
      </c>
      <c r="L72">
        <v>76</v>
      </c>
      <c r="M72">
        <v>1</v>
      </c>
      <c r="N72">
        <v>2</v>
      </c>
      <c r="O72" s="8">
        <f t="shared" si="4"/>
        <v>0.23850730124391561</v>
      </c>
      <c r="P72" s="8">
        <f t="shared" si="5"/>
        <v>1</v>
      </c>
      <c r="Q72" s="8" t="str">
        <f>VLOOKUP(L72,Gender!$C$3:$D$454,2,FALSE)</f>
        <v>M</v>
      </c>
      <c r="R72" s="8">
        <f t="shared" si="6"/>
        <v>2</v>
      </c>
      <c r="S72" s="8" t="str">
        <f t="shared" si="7"/>
        <v/>
      </c>
      <c r="U72">
        <v>127</v>
      </c>
      <c r="V72">
        <v>141</v>
      </c>
      <c r="W72">
        <v>3</v>
      </c>
      <c r="X72" s="8">
        <f t="shared" si="8"/>
        <v>19463.494321254733</v>
      </c>
      <c r="Y72" s="8">
        <f t="shared" si="9"/>
        <v>141</v>
      </c>
      <c r="Z72" s="8" t="str">
        <f>VLOOKUP(U72,Gender!$C$3:$D$454,2,FALSE)</f>
        <v>M</v>
      </c>
      <c r="AA72" s="8">
        <f t="shared" si="10"/>
        <v>3</v>
      </c>
      <c r="AB72" s="8" t="str">
        <f t="shared" si="11"/>
        <v/>
      </c>
      <c r="AD72">
        <v>270</v>
      </c>
      <c r="AE72">
        <v>12</v>
      </c>
      <c r="AF72">
        <v>5</v>
      </c>
      <c r="AG72" s="8" t="str">
        <f t="shared" si="12"/>
        <v/>
      </c>
      <c r="AH72" s="8" t="str">
        <f t="shared" si="13"/>
        <v/>
      </c>
      <c r="AI72" s="8" t="str">
        <f>VLOOKUP(AD72,Gender!$C$3:$D$454,2,FALSE)</f>
        <v>M</v>
      </c>
      <c r="AJ72" s="8" t="str">
        <f t="shared" si="14"/>
        <v/>
      </c>
      <c r="AK72" s="8" t="str">
        <f t="shared" si="15"/>
        <v/>
      </c>
    </row>
    <row r="73" spans="3:37" x14ac:dyDescent="0.25">
      <c r="C73">
        <v>60</v>
      </c>
      <c r="D73">
        <v>1</v>
      </c>
      <c r="E73">
        <v>1</v>
      </c>
      <c r="F73" s="8">
        <f t="shared" si="0"/>
        <v>0.23850730124391561</v>
      </c>
      <c r="H73" s="8" t="str">
        <f>VLOOKUP(C73,Gender!$C$3:$D$454,2,FALSE)</f>
        <v>M</v>
      </c>
      <c r="I73" s="8">
        <f t="shared" si="2"/>
        <v>1</v>
      </c>
      <c r="J73" s="8" t="str">
        <f t="shared" si="3"/>
        <v/>
      </c>
      <c r="L73">
        <v>77</v>
      </c>
      <c r="M73">
        <v>1</v>
      </c>
      <c r="N73">
        <v>2</v>
      </c>
      <c r="O73" s="8">
        <f t="shared" si="4"/>
        <v>0.23850730124391561</v>
      </c>
      <c r="P73" s="8">
        <f t="shared" si="5"/>
        <v>1</v>
      </c>
      <c r="Q73" s="8" t="str">
        <f>VLOOKUP(L73,Gender!$C$3:$D$454,2,FALSE)</f>
        <v>M</v>
      </c>
      <c r="R73" s="8">
        <f t="shared" si="6"/>
        <v>2</v>
      </c>
      <c r="S73" s="8" t="str">
        <f t="shared" si="7"/>
        <v/>
      </c>
      <c r="U73">
        <v>128</v>
      </c>
      <c r="V73">
        <v>3</v>
      </c>
      <c r="W73">
        <v>5</v>
      </c>
      <c r="X73" s="8" t="str">
        <f t="shared" si="8"/>
        <v/>
      </c>
      <c r="Y73" s="8" t="str">
        <f t="shared" si="9"/>
        <v/>
      </c>
      <c r="Z73" s="8" t="str">
        <f>VLOOKUP(U73,Gender!$C$3:$D$454,2,FALSE)</f>
        <v>M</v>
      </c>
      <c r="AA73" s="8" t="str">
        <f t="shared" si="10"/>
        <v/>
      </c>
      <c r="AB73" s="8" t="str">
        <f t="shared" si="11"/>
        <v/>
      </c>
      <c r="AD73">
        <v>271</v>
      </c>
      <c r="AE73">
        <v>36</v>
      </c>
      <c r="AF73">
        <v>5</v>
      </c>
      <c r="AG73" s="8" t="str">
        <f t="shared" si="12"/>
        <v/>
      </c>
      <c r="AH73" s="8" t="str">
        <f t="shared" si="13"/>
        <v/>
      </c>
      <c r="AI73" s="8" t="str">
        <f>VLOOKUP(AD73,Gender!$C$3:$D$454,2,FALSE)</f>
        <v>M</v>
      </c>
      <c r="AJ73" s="8" t="str">
        <f t="shared" si="14"/>
        <v/>
      </c>
      <c r="AK73" s="8" t="str">
        <f t="shared" si="15"/>
        <v/>
      </c>
    </row>
    <row r="74" spans="3:37" x14ac:dyDescent="0.25">
      <c r="C74">
        <v>61</v>
      </c>
      <c r="D74">
        <v>1</v>
      </c>
      <c r="E74">
        <v>1</v>
      </c>
      <c r="F74" s="8">
        <f t="shared" si="0"/>
        <v>0.23850730124391561</v>
      </c>
      <c r="H74" s="8" t="str">
        <f>VLOOKUP(C74,Gender!$C$3:$D$454,2,FALSE)</f>
        <v>M</v>
      </c>
      <c r="I74" s="8">
        <f t="shared" si="2"/>
        <v>1</v>
      </c>
      <c r="J74" s="8" t="str">
        <f t="shared" si="3"/>
        <v/>
      </c>
      <c r="L74">
        <v>81</v>
      </c>
      <c r="M74">
        <v>34</v>
      </c>
      <c r="N74">
        <v>2</v>
      </c>
      <c r="O74" s="8">
        <f t="shared" si="4"/>
        <v>1057.0059491617089</v>
      </c>
      <c r="P74" s="8">
        <f t="shared" si="5"/>
        <v>34</v>
      </c>
      <c r="Q74" s="8" t="str">
        <f>VLOOKUP(L74,Gender!$C$3:$D$454,2,FALSE)</f>
        <v>M</v>
      </c>
      <c r="R74" s="8">
        <f t="shared" si="6"/>
        <v>2</v>
      </c>
      <c r="S74" s="8" t="str">
        <f t="shared" si="7"/>
        <v/>
      </c>
      <c r="U74">
        <v>129</v>
      </c>
      <c r="V74">
        <v>18</v>
      </c>
      <c r="W74">
        <v>3</v>
      </c>
      <c r="X74" s="8">
        <f t="shared" si="8"/>
        <v>272.63385613845327</v>
      </c>
      <c r="Y74" s="8">
        <f t="shared" si="9"/>
        <v>18</v>
      </c>
      <c r="Z74" s="8" t="str">
        <f>VLOOKUP(U74,Gender!$C$3:$D$454,2,FALSE)</f>
        <v>M</v>
      </c>
      <c r="AA74" s="8">
        <f t="shared" si="10"/>
        <v>3</v>
      </c>
      <c r="AB74" s="8" t="str">
        <f t="shared" si="11"/>
        <v/>
      </c>
      <c r="AD74">
        <v>273</v>
      </c>
      <c r="AE74">
        <v>21</v>
      </c>
      <c r="AF74">
        <v>5</v>
      </c>
      <c r="AG74" s="8" t="str">
        <f t="shared" si="12"/>
        <v/>
      </c>
      <c r="AH74" s="8" t="str">
        <f t="shared" si="13"/>
        <v/>
      </c>
      <c r="AI74" s="8" t="str">
        <f>VLOOKUP(AD74,Gender!$C$3:$D$454,2,FALSE)</f>
        <v>M</v>
      </c>
      <c r="AJ74" s="8" t="str">
        <f t="shared" si="14"/>
        <v/>
      </c>
      <c r="AK74" s="8" t="str">
        <f t="shared" si="15"/>
        <v/>
      </c>
    </row>
    <row r="75" spans="3:37" x14ac:dyDescent="0.25">
      <c r="C75">
        <v>62</v>
      </c>
      <c r="D75">
        <v>4</v>
      </c>
      <c r="E75">
        <v>1</v>
      </c>
      <c r="F75" s="8">
        <f t="shared" si="0"/>
        <v>6.3082747431043806</v>
      </c>
      <c r="H75" s="8" t="str">
        <f>VLOOKUP(C75,Gender!$C$3:$D$454,2,FALSE)</f>
        <v>M</v>
      </c>
      <c r="I75" s="8">
        <f t="shared" si="2"/>
        <v>1</v>
      </c>
      <c r="J75" s="8" t="str">
        <f t="shared" si="3"/>
        <v/>
      </c>
      <c r="L75">
        <v>82</v>
      </c>
      <c r="M75">
        <v>14</v>
      </c>
      <c r="N75">
        <v>2</v>
      </c>
      <c r="O75" s="8">
        <f t="shared" si="4"/>
        <v>156.54083288263928</v>
      </c>
      <c r="P75" s="8">
        <f t="shared" si="5"/>
        <v>14</v>
      </c>
      <c r="Q75" s="8" t="str">
        <f>VLOOKUP(L75,Gender!$C$3:$D$454,2,FALSE)</f>
        <v>M</v>
      </c>
      <c r="R75" s="8">
        <f t="shared" si="6"/>
        <v>2</v>
      </c>
      <c r="S75" s="8" t="str">
        <f t="shared" si="7"/>
        <v/>
      </c>
      <c r="U75">
        <v>131</v>
      </c>
      <c r="V75">
        <v>112</v>
      </c>
      <c r="W75">
        <v>4</v>
      </c>
      <c r="X75" s="8" t="str">
        <f t="shared" si="8"/>
        <v/>
      </c>
      <c r="Y75" s="8" t="str">
        <f t="shared" si="9"/>
        <v/>
      </c>
      <c r="Z75" s="8" t="str">
        <f>VLOOKUP(U75,Gender!$C$3:$D$454,2,FALSE)</f>
        <v>M</v>
      </c>
      <c r="AA75" s="8" t="str">
        <f t="shared" si="10"/>
        <v/>
      </c>
      <c r="AB75" s="8" t="str">
        <f t="shared" si="11"/>
        <v/>
      </c>
      <c r="AD75">
        <v>278</v>
      </c>
      <c r="AE75">
        <v>1</v>
      </c>
      <c r="AF75">
        <v>4</v>
      </c>
      <c r="AG75" s="8">
        <f t="shared" si="12"/>
        <v>0.23850730124391561</v>
      </c>
      <c r="AH75" s="8">
        <f t="shared" si="13"/>
        <v>1</v>
      </c>
      <c r="AI75" s="8" t="str">
        <f>VLOOKUP(AD75,Gender!$C$3:$D$454,2,FALSE)</f>
        <v>M</v>
      </c>
      <c r="AJ75" s="8">
        <f t="shared" si="14"/>
        <v>4</v>
      </c>
      <c r="AK75" s="8" t="str">
        <f t="shared" si="15"/>
        <v/>
      </c>
    </row>
    <row r="76" spans="3:37" x14ac:dyDescent="0.25">
      <c r="C76">
        <v>63</v>
      </c>
      <c r="D76">
        <v>1</v>
      </c>
      <c r="E76">
        <v>2</v>
      </c>
      <c r="F76" s="8" t="str">
        <f t="shared" si="0"/>
        <v/>
      </c>
      <c r="H76" s="8" t="str">
        <f>VLOOKUP(C76,Gender!$C$3:$D$454,2,FALSE)</f>
        <v>M</v>
      </c>
      <c r="I76" s="8" t="str">
        <f t="shared" si="2"/>
        <v/>
      </c>
      <c r="J76" s="8" t="str">
        <f t="shared" si="3"/>
        <v/>
      </c>
      <c r="L76">
        <v>83</v>
      </c>
      <c r="M76">
        <v>99</v>
      </c>
      <c r="N76">
        <v>2</v>
      </c>
      <c r="O76" s="8">
        <f t="shared" si="4"/>
        <v>9508.5175770686856</v>
      </c>
      <c r="P76" s="8">
        <f t="shared" si="5"/>
        <v>99</v>
      </c>
      <c r="Q76" s="8" t="str">
        <f>VLOOKUP(L76,Gender!$C$3:$D$454,2,FALSE)</f>
        <v>F</v>
      </c>
      <c r="R76" s="8" t="str">
        <f t="shared" si="6"/>
        <v/>
      </c>
      <c r="S76" s="8">
        <f t="shared" si="7"/>
        <v>2</v>
      </c>
      <c r="U76">
        <v>132</v>
      </c>
      <c r="V76">
        <v>25</v>
      </c>
      <c r="W76">
        <v>3</v>
      </c>
      <c r="X76" s="8">
        <f t="shared" si="8"/>
        <v>552.79664683612771</v>
      </c>
      <c r="Y76" s="8">
        <f t="shared" si="9"/>
        <v>25</v>
      </c>
      <c r="Z76" s="8" t="str">
        <f>VLOOKUP(U76,Gender!$C$3:$D$454,2,FALSE)</f>
        <v>M</v>
      </c>
      <c r="AA76" s="8">
        <f t="shared" si="10"/>
        <v>3</v>
      </c>
      <c r="AB76" s="8" t="str">
        <f t="shared" si="11"/>
        <v/>
      </c>
      <c r="AD76">
        <v>289</v>
      </c>
      <c r="AE76">
        <v>38</v>
      </c>
      <c r="AF76">
        <v>4</v>
      </c>
      <c r="AG76" s="8">
        <f t="shared" si="12"/>
        <v>1333.0989724175229</v>
      </c>
      <c r="AH76" s="8">
        <f t="shared" si="13"/>
        <v>38</v>
      </c>
      <c r="AI76" s="8" t="str">
        <f>VLOOKUP(AD76,Gender!$C$3:$D$454,2,FALSE)</f>
        <v>M</v>
      </c>
      <c r="AJ76" s="8">
        <f t="shared" si="14"/>
        <v>4</v>
      </c>
      <c r="AK76" s="8" t="str">
        <f t="shared" si="15"/>
        <v/>
      </c>
    </row>
    <row r="77" spans="3:37" x14ac:dyDescent="0.25">
      <c r="C77">
        <v>64</v>
      </c>
      <c r="D77">
        <v>2</v>
      </c>
      <c r="E77">
        <v>1</v>
      </c>
      <c r="F77" s="8">
        <f t="shared" si="0"/>
        <v>0.26176311519740403</v>
      </c>
      <c r="H77" s="8" t="str">
        <f>VLOOKUP(C77,Gender!$C$3:$D$454,2,FALSE)</f>
        <v>M</v>
      </c>
      <c r="I77" s="8">
        <f t="shared" si="2"/>
        <v>1</v>
      </c>
      <c r="J77" s="8" t="str">
        <f t="shared" si="3"/>
        <v/>
      </c>
      <c r="L77">
        <v>85</v>
      </c>
      <c r="M77">
        <v>18</v>
      </c>
      <c r="N77">
        <v>3</v>
      </c>
      <c r="O77" s="8" t="str">
        <f t="shared" si="4"/>
        <v/>
      </c>
      <c r="P77" s="8" t="str">
        <f t="shared" si="5"/>
        <v/>
      </c>
      <c r="Q77" s="8" t="str">
        <f>VLOOKUP(L77,Gender!$C$3:$D$454,2,FALSE)</f>
        <v>M</v>
      </c>
      <c r="R77" s="8" t="str">
        <f t="shared" si="6"/>
        <v/>
      </c>
      <c r="S77" s="8" t="str">
        <f t="shared" si="7"/>
        <v/>
      </c>
      <c r="U77">
        <v>133</v>
      </c>
      <c r="V77">
        <v>48</v>
      </c>
      <c r="W77">
        <v>4</v>
      </c>
      <c r="X77" s="8" t="str">
        <f t="shared" si="8"/>
        <v/>
      </c>
      <c r="Y77" s="8" t="str">
        <f t="shared" si="9"/>
        <v/>
      </c>
      <c r="Z77" s="8" t="str">
        <f>VLOOKUP(U77,Gender!$C$3:$D$454,2,FALSE)</f>
        <v>M</v>
      </c>
      <c r="AA77" s="8" t="str">
        <f t="shared" si="10"/>
        <v/>
      </c>
      <c r="AB77" s="8" t="str">
        <f t="shared" si="11"/>
        <v/>
      </c>
    </row>
    <row r="78" spans="3:37" x14ac:dyDescent="0.25">
      <c r="C78">
        <v>65</v>
      </c>
      <c r="D78">
        <v>1</v>
      </c>
      <c r="E78">
        <v>1</v>
      </c>
      <c r="F78" s="8">
        <f t="shared" ref="F78:F141" si="22">IF(E78=1,(D78-$D$2)*(D78-$D$2),"")</f>
        <v>0.23850730124391561</v>
      </c>
      <c r="H78" s="8" t="str">
        <f>VLOOKUP(C78,Gender!$C$3:$D$454,2,FALSE)</f>
        <v>F</v>
      </c>
      <c r="I78" s="8" t="str">
        <f t="shared" ref="I78:I141" si="23">IF(AND(E78=1,H78="M"),1,"")</f>
        <v/>
      </c>
      <c r="J78" s="8">
        <f t="shared" ref="J78:J141" si="24">IF(AND(E78=1,H78="F"),1,"")</f>
        <v>1</v>
      </c>
      <c r="L78">
        <v>88</v>
      </c>
      <c r="M78">
        <v>1</v>
      </c>
      <c r="N78">
        <v>2</v>
      </c>
      <c r="O78" s="8">
        <f t="shared" ref="O78:O141" si="25">IF(N78=2,(M78-$D$2)*(M78-$D$2),"")</f>
        <v>0.23850730124391561</v>
      </c>
      <c r="P78" s="8">
        <f t="shared" ref="P78:P141" si="26">IF(N78=2,M78,"")</f>
        <v>1</v>
      </c>
      <c r="Q78" s="8" t="str">
        <f>VLOOKUP(L78,Gender!$C$3:$D$454,2,FALSE)</f>
        <v>M</v>
      </c>
      <c r="R78" s="8">
        <f t="shared" ref="R78:R141" si="27">IF(AND(N78=2,Q78="M"),2,"")</f>
        <v>2</v>
      </c>
      <c r="S78" s="8" t="str">
        <f t="shared" ref="S78:S141" si="28">IF(AND(N78=2,Q78="F"),2,"")</f>
        <v/>
      </c>
      <c r="U78">
        <v>134</v>
      </c>
      <c r="V78">
        <v>32</v>
      </c>
      <c r="W78">
        <v>3</v>
      </c>
      <c r="X78" s="8">
        <f t="shared" ref="X78:X141" si="29">IF(W78=3,(V78-$D$2)*(V78-$D$2),"")</f>
        <v>930.95943753380209</v>
      </c>
      <c r="Y78" s="8">
        <f t="shared" ref="Y78:Y141" si="30">IF(W78=3,V78,"")</f>
        <v>32</v>
      </c>
      <c r="Z78" s="8" t="str">
        <f>VLOOKUP(U78,Gender!$C$3:$D$454,2,FALSE)</f>
        <v>F</v>
      </c>
      <c r="AA78" s="8" t="str">
        <f t="shared" ref="AA78:AA141" si="31">IF(AND(W78=3,Z78="M"),3,"")</f>
        <v/>
      </c>
      <c r="AB78" s="8">
        <f t="shared" ref="AB78:AB141" si="32">IF(AND(W78=3,Z78="F"),3,"")</f>
        <v>3</v>
      </c>
    </row>
    <row r="79" spans="3:37" x14ac:dyDescent="0.25">
      <c r="C79">
        <v>66</v>
      </c>
      <c r="D79">
        <v>1</v>
      </c>
      <c r="E79">
        <v>3</v>
      </c>
      <c r="F79" s="8" t="str">
        <f t="shared" si="22"/>
        <v/>
      </c>
      <c r="H79" s="8" t="str">
        <f>VLOOKUP(C79,Gender!$C$3:$D$454,2,FALSE)</f>
        <v>F</v>
      </c>
      <c r="I79" s="8" t="str">
        <f t="shared" si="23"/>
        <v/>
      </c>
      <c r="J79" s="8" t="str">
        <f t="shared" si="24"/>
        <v/>
      </c>
      <c r="L79">
        <v>89</v>
      </c>
      <c r="M79">
        <v>56</v>
      </c>
      <c r="N79">
        <v>3</v>
      </c>
      <c r="O79" s="8" t="str">
        <f t="shared" si="25"/>
        <v/>
      </c>
      <c r="P79" s="8" t="str">
        <f t="shared" si="26"/>
        <v/>
      </c>
      <c r="Q79" s="8" t="str">
        <f>VLOOKUP(L79,Gender!$C$3:$D$454,2,FALSE)</f>
        <v>M</v>
      </c>
      <c r="R79" s="8" t="str">
        <f t="shared" si="27"/>
        <v/>
      </c>
      <c r="S79" s="8" t="str">
        <f t="shared" si="28"/>
        <v/>
      </c>
      <c r="U79">
        <v>135</v>
      </c>
      <c r="V79">
        <v>29</v>
      </c>
      <c r="W79">
        <v>3</v>
      </c>
      <c r="X79" s="8">
        <f t="shared" si="29"/>
        <v>756.88967009194164</v>
      </c>
      <c r="Y79" s="8">
        <f t="shared" si="30"/>
        <v>29</v>
      </c>
      <c r="Z79" s="8" t="str">
        <f>VLOOKUP(U79,Gender!$C$3:$D$454,2,FALSE)</f>
        <v>M</v>
      </c>
      <c r="AA79" s="8">
        <f t="shared" si="31"/>
        <v>3</v>
      </c>
      <c r="AB79" s="8" t="str">
        <f t="shared" si="32"/>
        <v/>
      </c>
    </row>
    <row r="80" spans="3:37" x14ac:dyDescent="0.25">
      <c r="C80">
        <v>67</v>
      </c>
      <c r="D80">
        <v>1</v>
      </c>
      <c r="E80">
        <v>1</v>
      </c>
      <c r="F80" s="8">
        <f t="shared" si="22"/>
        <v>0.23850730124391561</v>
      </c>
      <c r="H80" s="8" t="str">
        <f>VLOOKUP(C80,Gender!$C$3:$D$454,2,FALSE)</f>
        <v>M</v>
      </c>
      <c r="I80" s="8">
        <f t="shared" si="23"/>
        <v>1</v>
      </c>
      <c r="J80" s="8" t="str">
        <f t="shared" si="24"/>
        <v/>
      </c>
      <c r="L80">
        <v>90</v>
      </c>
      <c r="M80">
        <v>10</v>
      </c>
      <c r="N80">
        <v>2</v>
      </c>
      <c r="O80" s="8">
        <f t="shared" si="25"/>
        <v>72.447809626825332</v>
      </c>
      <c r="P80" s="8">
        <f t="shared" si="26"/>
        <v>10</v>
      </c>
      <c r="Q80" s="8" t="str">
        <f>VLOOKUP(L80,Gender!$C$3:$D$454,2,FALSE)</f>
        <v>M</v>
      </c>
      <c r="R80" s="8">
        <f t="shared" si="27"/>
        <v>2</v>
      </c>
      <c r="S80" s="8" t="str">
        <f t="shared" si="28"/>
        <v/>
      </c>
      <c r="U80">
        <v>136</v>
      </c>
      <c r="V80">
        <v>52</v>
      </c>
      <c r="W80">
        <v>3</v>
      </c>
      <c r="X80" s="8">
        <f t="shared" si="29"/>
        <v>2551.4245538128716</v>
      </c>
      <c r="Y80" s="8">
        <f t="shared" si="30"/>
        <v>52</v>
      </c>
      <c r="Z80" s="8" t="str">
        <f>VLOOKUP(U80,Gender!$C$3:$D$454,2,FALSE)</f>
        <v>M</v>
      </c>
      <c r="AA80" s="8">
        <f t="shared" si="31"/>
        <v>3</v>
      </c>
      <c r="AB80" s="8" t="str">
        <f t="shared" si="32"/>
        <v/>
      </c>
    </row>
    <row r="81" spans="3:28" x14ac:dyDescent="0.25">
      <c r="C81">
        <v>68</v>
      </c>
      <c r="D81">
        <v>1</v>
      </c>
      <c r="E81">
        <v>1</v>
      </c>
      <c r="F81" s="8">
        <f t="shared" si="22"/>
        <v>0.23850730124391561</v>
      </c>
      <c r="H81" s="8" t="str">
        <f>VLOOKUP(C81,Gender!$C$3:$D$454,2,FALSE)</f>
        <v>M</v>
      </c>
      <c r="I81" s="8">
        <f t="shared" si="23"/>
        <v>1</v>
      </c>
      <c r="J81" s="8" t="str">
        <f t="shared" si="24"/>
        <v/>
      </c>
      <c r="L81">
        <v>91</v>
      </c>
      <c r="M81">
        <v>84</v>
      </c>
      <c r="N81">
        <v>2</v>
      </c>
      <c r="O81" s="8">
        <f t="shared" si="25"/>
        <v>6808.1687398593831</v>
      </c>
      <c r="P81" s="8">
        <f t="shared" si="26"/>
        <v>84</v>
      </c>
      <c r="Q81" s="8" t="str">
        <f>VLOOKUP(L81,Gender!$C$3:$D$454,2,FALSE)</f>
        <v>M</v>
      </c>
      <c r="R81" s="8">
        <f t="shared" si="27"/>
        <v>2</v>
      </c>
      <c r="S81" s="8" t="str">
        <f t="shared" si="28"/>
        <v/>
      </c>
      <c r="U81">
        <v>137</v>
      </c>
      <c r="V81">
        <v>67</v>
      </c>
      <c r="W81">
        <v>4</v>
      </c>
      <c r="X81" s="8" t="str">
        <f t="shared" si="29"/>
        <v/>
      </c>
      <c r="Y81" s="8" t="str">
        <f t="shared" si="30"/>
        <v/>
      </c>
      <c r="Z81" s="8" t="str">
        <f>VLOOKUP(U81,Gender!$C$3:$D$454,2,FALSE)</f>
        <v>F</v>
      </c>
      <c r="AA81" s="8" t="str">
        <f t="shared" si="31"/>
        <v/>
      </c>
      <c r="AB81" s="8" t="str">
        <f t="shared" si="32"/>
        <v/>
      </c>
    </row>
    <row r="82" spans="3:28" x14ac:dyDescent="0.25">
      <c r="C82">
        <v>69</v>
      </c>
      <c r="D82">
        <v>1</v>
      </c>
      <c r="E82">
        <v>1</v>
      </c>
      <c r="F82" s="8">
        <f t="shared" si="22"/>
        <v>0.23850730124391561</v>
      </c>
      <c r="H82" s="8" t="str">
        <f>VLOOKUP(C82,Gender!$C$3:$D$454,2,FALSE)</f>
        <v>F</v>
      </c>
      <c r="I82" s="8" t="str">
        <f t="shared" si="23"/>
        <v/>
      </c>
      <c r="J82" s="8">
        <f t="shared" si="24"/>
        <v>1</v>
      </c>
      <c r="L82">
        <v>92</v>
      </c>
      <c r="M82">
        <v>112</v>
      </c>
      <c r="N82">
        <v>2</v>
      </c>
      <c r="O82" s="8">
        <f t="shared" si="25"/>
        <v>12212.819902650081</v>
      </c>
      <c r="P82" s="8">
        <f t="shared" si="26"/>
        <v>112</v>
      </c>
      <c r="Q82" s="8" t="str">
        <f>VLOOKUP(L82,Gender!$C$3:$D$454,2,FALSE)</f>
        <v>M</v>
      </c>
      <c r="R82" s="8">
        <f t="shared" si="27"/>
        <v>2</v>
      </c>
      <c r="S82" s="8" t="str">
        <f t="shared" si="28"/>
        <v/>
      </c>
      <c r="U82">
        <v>138</v>
      </c>
      <c r="V82">
        <v>27</v>
      </c>
      <c r="W82">
        <v>5</v>
      </c>
      <c r="X82" s="8" t="str">
        <f t="shared" si="29"/>
        <v/>
      </c>
      <c r="Y82" s="8" t="str">
        <f t="shared" si="30"/>
        <v/>
      </c>
      <c r="Z82" s="8" t="str">
        <f>VLOOKUP(U82,Gender!$C$3:$D$454,2,FALSE)</f>
        <v>M</v>
      </c>
      <c r="AA82" s="8" t="str">
        <f t="shared" si="31"/>
        <v/>
      </c>
      <c r="AB82" s="8" t="str">
        <f t="shared" si="32"/>
        <v/>
      </c>
    </row>
    <row r="83" spans="3:28" x14ac:dyDescent="0.25">
      <c r="C83">
        <v>70</v>
      </c>
      <c r="D83">
        <v>1</v>
      </c>
      <c r="E83">
        <v>1</v>
      </c>
      <c r="F83" s="8">
        <f t="shared" si="22"/>
        <v>0.23850730124391561</v>
      </c>
      <c r="H83" s="8" t="str">
        <f>VLOOKUP(C83,Gender!$C$3:$D$454,2,FALSE)</f>
        <v>M</v>
      </c>
      <c r="I83" s="8">
        <f t="shared" si="23"/>
        <v>1</v>
      </c>
      <c r="J83" s="8" t="str">
        <f t="shared" si="24"/>
        <v/>
      </c>
      <c r="L83">
        <v>93</v>
      </c>
      <c r="M83">
        <v>10</v>
      </c>
      <c r="N83">
        <v>5</v>
      </c>
      <c r="O83" s="8" t="str">
        <f t="shared" si="25"/>
        <v/>
      </c>
      <c r="P83" s="8" t="str">
        <f t="shared" si="26"/>
        <v/>
      </c>
      <c r="Q83" s="8" t="str">
        <f>VLOOKUP(L83,Gender!$C$3:$D$454,2,FALSE)</f>
        <v>M</v>
      </c>
      <c r="R83" s="8" t="str">
        <f t="shared" si="27"/>
        <v/>
      </c>
      <c r="S83" s="8" t="str">
        <f t="shared" si="28"/>
        <v/>
      </c>
      <c r="U83">
        <v>143</v>
      </c>
      <c r="V83">
        <v>1</v>
      </c>
      <c r="W83">
        <v>3</v>
      </c>
      <c r="X83" s="8">
        <f t="shared" si="29"/>
        <v>0.23850730124391561</v>
      </c>
      <c r="Y83" s="8">
        <f t="shared" si="30"/>
        <v>1</v>
      </c>
      <c r="Z83" s="8" t="str">
        <f>VLOOKUP(U83,Gender!$C$3:$D$454,2,FALSE)</f>
        <v>F</v>
      </c>
      <c r="AA83" s="8" t="str">
        <f t="shared" si="31"/>
        <v/>
      </c>
      <c r="AB83" s="8">
        <f t="shared" si="32"/>
        <v>3</v>
      </c>
    </row>
    <row r="84" spans="3:28" x14ac:dyDescent="0.25">
      <c r="C84">
        <v>71</v>
      </c>
      <c r="D84">
        <v>1</v>
      </c>
      <c r="E84">
        <v>4</v>
      </c>
      <c r="F84" s="8" t="str">
        <f t="shared" si="22"/>
        <v/>
      </c>
      <c r="H84" s="8" t="str">
        <f>VLOOKUP(C84,Gender!$C$3:$D$454,2,FALSE)</f>
        <v>M</v>
      </c>
      <c r="I84" s="8" t="str">
        <f t="shared" si="23"/>
        <v/>
      </c>
      <c r="J84" s="8" t="str">
        <f t="shared" si="24"/>
        <v/>
      </c>
      <c r="L84">
        <v>94</v>
      </c>
      <c r="M84">
        <v>18</v>
      </c>
      <c r="N84">
        <v>5</v>
      </c>
      <c r="O84" s="8" t="str">
        <f t="shared" si="25"/>
        <v/>
      </c>
      <c r="P84" s="8" t="str">
        <f t="shared" si="26"/>
        <v/>
      </c>
      <c r="Q84" s="8" t="str">
        <f>VLOOKUP(L84,Gender!$C$3:$D$454,2,FALSE)</f>
        <v>M</v>
      </c>
      <c r="R84" s="8" t="str">
        <f t="shared" si="27"/>
        <v/>
      </c>
      <c r="S84" s="8" t="str">
        <f t="shared" si="28"/>
        <v/>
      </c>
      <c r="U84">
        <v>147</v>
      </c>
      <c r="V84">
        <v>45</v>
      </c>
      <c r="W84">
        <v>3</v>
      </c>
      <c r="X84" s="8">
        <f t="shared" si="29"/>
        <v>1893.2617631151973</v>
      </c>
      <c r="Y84" s="8">
        <f t="shared" si="30"/>
        <v>45</v>
      </c>
      <c r="Z84" s="8" t="str">
        <f>VLOOKUP(U84,Gender!$C$3:$D$454,2,FALSE)</f>
        <v>F</v>
      </c>
      <c r="AA84" s="8" t="str">
        <f t="shared" si="31"/>
        <v/>
      </c>
      <c r="AB84" s="8">
        <f t="shared" si="32"/>
        <v>3</v>
      </c>
    </row>
    <row r="85" spans="3:28" x14ac:dyDescent="0.25">
      <c r="C85">
        <v>72</v>
      </c>
      <c r="D85">
        <v>2</v>
      </c>
      <c r="E85">
        <v>1</v>
      </c>
      <c r="F85" s="8">
        <f t="shared" si="22"/>
        <v>0.26176311519740403</v>
      </c>
      <c r="H85" s="8" t="str">
        <f>VLOOKUP(C85,Gender!$C$3:$D$454,2,FALSE)</f>
        <v>M</v>
      </c>
      <c r="I85" s="8">
        <f t="shared" si="23"/>
        <v>1</v>
      </c>
      <c r="J85" s="8" t="str">
        <f t="shared" si="24"/>
        <v/>
      </c>
      <c r="L85">
        <v>96</v>
      </c>
      <c r="M85">
        <v>1</v>
      </c>
      <c r="N85">
        <v>3</v>
      </c>
      <c r="O85" s="8" t="str">
        <f t="shared" si="25"/>
        <v/>
      </c>
      <c r="P85" s="8" t="str">
        <f t="shared" si="26"/>
        <v/>
      </c>
      <c r="Q85" s="8" t="str">
        <f>VLOOKUP(L85,Gender!$C$3:$D$454,2,FALSE)</f>
        <v>M</v>
      </c>
      <c r="R85" s="8" t="str">
        <f t="shared" si="27"/>
        <v/>
      </c>
      <c r="S85" s="8" t="str">
        <f t="shared" si="28"/>
        <v/>
      </c>
      <c r="U85">
        <v>148</v>
      </c>
      <c r="V85">
        <v>80</v>
      </c>
      <c r="W85">
        <v>3</v>
      </c>
      <c r="X85" s="8">
        <f t="shared" si="29"/>
        <v>6164.0757166035692</v>
      </c>
      <c r="Y85" s="8">
        <f t="shared" si="30"/>
        <v>80</v>
      </c>
      <c r="Z85" s="8" t="str">
        <f>VLOOKUP(U85,Gender!$C$3:$D$454,2,FALSE)</f>
        <v>F</v>
      </c>
      <c r="AA85" s="8" t="str">
        <f t="shared" si="31"/>
        <v/>
      </c>
      <c r="AB85" s="8">
        <f t="shared" si="32"/>
        <v>3</v>
      </c>
    </row>
    <row r="86" spans="3:28" x14ac:dyDescent="0.25">
      <c r="C86">
        <v>73</v>
      </c>
      <c r="D86">
        <v>1</v>
      </c>
      <c r="E86">
        <v>1</v>
      </c>
      <c r="F86" s="8">
        <f t="shared" si="22"/>
        <v>0.23850730124391561</v>
      </c>
      <c r="H86" s="8" t="str">
        <f>VLOOKUP(C86,Gender!$C$3:$D$454,2,FALSE)</f>
        <v>M</v>
      </c>
      <c r="I86" s="8">
        <f t="shared" si="23"/>
        <v>1</v>
      </c>
      <c r="J86" s="8" t="str">
        <f t="shared" si="24"/>
        <v/>
      </c>
      <c r="L86">
        <v>98</v>
      </c>
      <c r="M86">
        <v>1</v>
      </c>
      <c r="N86">
        <v>2</v>
      </c>
      <c r="O86" s="8">
        <f t="shared" si="25"/>
        <v>0.23850730124391561</v>
      </c>
      <c r="P86" s="8">
        <f t="shared" si="26"/>
        <v>1</v>
      </c>
      <c r="Q86" s="8" t="str">
        <f>VLOOKUP(L86,Gender!$C$3:$D$454,2,FALSE)</f>
        <v>F</v>
      </c>
      <c r="R86" s="8" t="str">
        <f t="shared" si="27"/>
        <v/>
      </c>
      <c r="S86" s="8">
        <f t="shared" si="28"/>
        <v>2</v>
      </c>
      <c r="U86">
        <v>150</v>
      </c>
      <c r="V86">
        <v>102</v>
      </c>
      <c r="W86">
        <v>3</v>
      </c>
      <c r="X86" s="8">
        <f t="shared" si="29"/>
        <v>10102.587344510546</v>
      </c>
      <c r="Y86" s="8">
        <f t="shared" si="30"/>
        <v>102</v>
      </c>
      <c r="Z86" s="8" t="str">
        <f>VLOOKUP(U86,Gender!$C$3:$D$454,2,FALSE)</f>
        <v>F</v>
      </c>
      <c r="AA86" s="8" t="str">
        <f t="shared" si="31"/>
        <v/>
      </c>
      <c r="AB86" s="8">
        <f t="shared" si="32"/>
        <v>3</v>
      </c>
    </row>
    <row r="87" spans="3:28" x14ac:dyDescent="0.25">
      <c r="C87">
        <v>74</v>
      </c>
      <c r="D87">
        <v>3</v>
      </c>
      <c r="E87">
        <v>1</v>
      </c>
      <c r="F87" s="8">
        <f t="shared" si="22"/>
        <v>2.2850189291508922</v>
      </c>
      <c r="H87" s="8" t="str">
        <f>VLOOKUP(C87,Gender!$C$3:$D$454,2,FALSE)</f>
        <v>M</v>
      </c>
      <c r="I87" s="8">
        <f t="shared" si="23"/>
        <v>1</v>
      </c>
      <c r="J87" s="8" t="str">
        <f t="shared" si="24"/>
        <v/>
      </c>
      <c r="L87">
        <v>99</v>
      </c>
      <c r="M87">
        <v>25</v>
      </c>
      <c r="N87">
        <v>3</v>
      </c>
      <c r="O87" s="8" t="str">
        <f t="shared" si="25"/>
        <v/>
      </c>
      <c r="P87" s="8" t="str">
        <f t="shared" si="26"/>
        <v/>
      </c>
      <c r="Q87" s="8" t="str">
        <f>VLOOKUP(L87,Gender!$C$3:$D$454,2,FALSE)</f>
        <v>M</v>
      </c>
      <c r="R87" s="8" t="str">
        <f t="shared" si="27"/>
        <v/>
      </c>
      <c r="S87" s="8" t="str">
        <f t="shared" si="28"/>
        <v/>
      </c>
      <c r="U87">
        <v>152</v>
      </c>
      <c r="V87">
        <v>24</v>
      </c>
      <c r="W87">
        <v>4</v>
      </c>
      <c r="X87" s="8" t="str">
        <f t="shared" si="29"/>
        <v/>
      </c>
      <c r="Y87" s="8" t="str">
        <f t="shared" si="30"/>
        <v/>
      </c>
      <c r="Z87" s="8" t="str">
        <f>VLOOKUP(U87,Gender!$C$3:$D$454,2,FALSE)</f>
        <v>M</v>
      </c>
      <c r="AA87" s="8" t="str">
        <f t="shared" si="31"/>
        <v/>
      </c>
      <c r="AB87" s="8" t="str">
        <f t="shared" si="32"/>
        <v/>
      </c>
    </row>
    <row r="88" spans="3:28" x14ac:dyDescent="0.25">
      <c r="C88">
        <v>75</v>
      </c>
      <c r="D88">
        <v>1</v>
      </c>
      <c r="E88">
        <v>1</v>
      </c>
      <c r="F88" s="8">
        <f t="shared" si="22"/>
        <v>0.23850730124391561</v>
      </c>
      <c r="H88" s="8" t="str">
        <f>VLOOKUP(C88,Gender!$C$3:$D$454,2,FALSE)</f>
        <v>M</v>
      </c>
      <c r="I88" s="8">
        <f t="shared" si="23"/>
        <v>1</v>
      </c>
      <c r="J88" s="8" t="str">
        <f t="shared" si="24"/>
        <v/>
      </c>
      <c r="L88">
        <v>100</v>
      </c>
      <c r="M88">
        <v>129</v>
      </c>
      <c r="N88">
        <v>2</v>
      </c>
      <c r="O88" s="8">
        <f t="shared" si="25"/>
        <v>16259.215251487291</v>
      </c>
      <c r="P88" s="8">
        <f t="shared" si="26"/>
        <v>129</v>
      </c>
      <c r="Q88" s="8" t="str">
        <f>VLOOKUP(L88,Gender!$C$3:$D$454,2,FALSE)</f>
        <v>M</v>
      </c>
      <c r="R88" s="8">
        <f t="shared" si="27"/>
        <v>2</v>
      </c>
      <c r="S88" s="8" t="str">
        <f t="shared" si="28"/>
        <v/>
      </c>
      <c r="U88">
        <v>156</v>
      </c>
      <c r="V88">
        <v>64</v>
      </c>
      <c r="W88">
        <v>3</v>
      </c>
      <c r="X88" s="8">
        <f t="shared" si="29"/>
        <v>3907.7036235803134</v>
      </c>
      <c r="Y88" s="8">
        <f t="shared" si="30"/>
        <v>64</v>
      </c>
      <c r="Z88" s="8" t="str">
        <f>VLOOKUP(U88,Gender!$C$3:$D$454,2,FALSE)</f>
        <v>M</v>
      </c>
      <c r="AA88" s="8">
        <f t="shared" si="31"/>
        <v>3</v>
      </c>
      <c r="AB88" s="8" t="str">
        <f t="shared" si="32"/>
        <v/>
      </c>
    </row>
    <row r="89" spans="3:28" x14ac:dyDescent="0.25">
      <c r="C89">
        <v>76</v>
      </c>
      <c r="D89">
        <v>1</v>
      </c>
      <c r="E89">
        <v>2</v>
      </c>
      <c r="F89" s="8" t="str">
        <f t="shared" si="22"/>
        <v/>
      </c>
      <c r="H89" s="8" t="str">
        <f>VLOOKUP(C89,Gender!$C$3:$D$454,2,FALSE)</f>
        <v>M</v>
      </c>
      <c r="I89" s="8" t="str">
        <f t="shared" si="23"/>
        <v/>
      </c>
      <c r="J89" s="8" t="str">
        <f t="shared" si="24"/>
        <v/>
      </c>
      <c r="L89">
        <v>102</v>
      </c>
      <c r="M89">
        <v>37</v>
      </c>
      <c r="N89">
        <v>2</v>
      </c>
      <c r="O89" s="8">
        <f t="shared" si="25"/>
        <v>1261.0757166035694</v>
      </c>
      <c r="P89" s="8">
        <f t="shared" si="26"/>
        <v>37</v>
      </c>
      <c r="Q89" s="8" t="str">
        <f>VLOOKUP(L89,Gender!$C$3:$D$454,2,FALSE)</f>
        <v>F</v>
      </c>
      <c r="R89" s="8" t="str">
        <f t="shared" si="27"/>
        <v/>
      </c>
      <c r="S89" s="8">
        <f t="shared" si="28"/>
        <v>2</v>
      </c>
      <c r="U89">
        <v>157</v>
      </c>
      <c r="V89">
        <v>69</v>
      </c>
      <c r="W89">
        <v>5</v>
      </c>
      <c r="X89" s="8" t="str">
        <f t="shared" si="29"/>
        <v/>
      </c>
      <c r="Y89" s="8" t="str">
        <f t="shared" si="30"/>
        <v/>
      </c>
      <c r="Z89" s="8" t="str">
        <f>VLOOKUP(U89,Gender!$C$3:$D$454,2,FALSE)</f>
        <v>M</v>
      </c>
      <c r="AA89" s="8" t="str">
        <f t="shared" si="31"/>
        <v/>
      </c>
      <c r="AB89" s="8" t="str">
        <f t="shared" si="32"/>
        <v/>
      </c>
    </row>
    <row r="90" spans="3:28" x14ac:dyDescent="0.25">
      <c r="C90">
        <v>77</v>
      </c>
      <c r="D90">
        <v>1</v>
      </c>
      <c r="E90">
        <v>2</v>
      </c>
      <c r="F90" s="8" t="str">
        <f t="shared" si="22"/>
        <v/>
      </c>
      <c r="H90" s="8" t="str">
        <f>VLOOKUP(C90,Gender!$C$3:$D$454,2,FALSE)</f>
        <v>M</v>
      </c>
      <c r="I90" s="8" t="str">
        <f t="shared" si="23"/>
        <v/>
      </c>
      <c r="J90" s="8" t="str">
        <f t="shared" si="24"/>
        <v/>
      </c>
      <c r="L90">
        <v>103</v>
      </c>
      <c r="M90">
        <v>17</v>
      </c>
      <c r="N90">
        <v>3</v>
      </c>
      <c r="O90" s="8" t="str">
        <f t="shared" si="25"/>
        <v/>
      </c>
      <c r="P90" s="8" t="str">
        <f t="shared" si="26"/>
        <v/>
      </c>
      <c r="Q90" s="8" t="str">
        <f>VLOOKUP(L90,Gender!$C$3:$D$454,2,FALSE)</f>
        <v>M</v>
      </c>
      <c r="R90" s="8" t="str">
        <f t="shared" si="27"/>
        <v/>
      </c>
      <c r="S90" s="8" t="str">
        <f t="shared" si="28"/>
        <v/>
      </c>
      <c r="U90">
        <v>159</v>
      </c>
      <c r="V90">
        <v>68</v>
      </c>
      <c r="W90">
        <v>5</v>
      </c>
      <c r="X90" s="8" t="str">
        <f t="shared" si="29"/>
        <v/>
      </c>
      <c r="Y90" s="8" t="str">
        <f t="shared" si="30"/>
        <v/>
      </c>
      <c r="Z90" s="8" t="str">
        <f>VLOOKUP(U90,Gender!$C$3:$D$454,2,FALSE)</f>
        <v>M</v>
      </c>
      <c r="AA90" s="8" t="str">
        <f t="shared" si="31"/>
        <v/>
      </c>
      <c r="AB90" s="8" t="str">
        <f t="shared" si="32"/>
        <v/>
      </c>
    </row>
    <row r="91" spans="3:28" x14ac:dyDescent="0.25">
      <c r="C91">
        <v>78</v>
      </c>
      <c r="D91">
        <v>1</v>
      </c>
      <c r="E91">
        <v>1</v>
      </c>
      <c r="F91" s="8">
        <f t="shared" si="22"/>
        <v>0.23850730124391561</v>
      </c>
      <c r="H91" s="8" t="str">
        <f>VLOOKUP(C91,Gender!$C$3:$D$454,2,FALSE)</f>
        <v>M</v>
      </c>
      <c r="I91" s="8">
        <f t="shared" si="23"/>
        <v>1</v>
      </c>
      <c r="J91" s="8" t="str">
        <f t="shared" si="24"/>
        <v/>
      </c>
      <c r="L91">
        <v>104</v>
      </c>
      <c r="M91">
        <v>1</v>
      </c>
      <c r="N91">
        <v>2</v>
      </c>
      <c r="O91" s="8">
        <f t="shared" si="25"/>
        <v>0.23850730124391561</v>
      </c>
      <c r="P91" s="8">
        <f t="shared" si="26"/>
        <v>1</v>
      </c>
      <c r="Q91" s="8" t="str">
        <f>VLOOKUP(L91,Gender!$C$3:$D$454,2,FALSE)</f>
        <v>F</v>
      </c>
      <c r="R91" s="8" t="str">
        <f t="shared" si="27"/>
        <v/>
      </c>
      <c r="S91" s="8">
        <f t="shared" si="28"/>
        <v>2</v>
      </c>
      <c r="U91">
        <v>160</v>
      </c>
      <c r="V91">
        <v>47</v>
      </c>
      <c r="W91">
        <v>3</v>
      </c>
      <c r="X91" s="8">
        <f t="shared" si="29"/>
        <v>2071.308274743104</v>
      </c>
      <c r="Y91" s="8">
        <f t="shared" si="30"/>
        <v>47</v>
      </c>
      <c r="Z91" s="8" t="str">
        <f>VLOOKUP(U91,Gender!$C$3:$D$454,2,FALSE)</f>
        <v>M</v>
      </c>
      <c r="AA91" s="8">
        <f t="shared" si="31"/>
        <v>3</v>
      </c>
      <c r="AB91" s="8" t="str">
        <f t="shared" si="32"/>
        <v/>
      </c>
    </row>
    <row r="92" spans="3:28" x14ac:dyDescent="0.25">
      <c r="C92">
        <v>79</v>
      </c>
      <c r="D92">
        <v>1</v>
      </c>
      <c r="E92">
        <v>1</v>
      </c>
      <c r="F92" s="8">
        <f t="shared" si="22"/>
        <v>0.23850730124391561</v>
      </c>
      <c r="H92" s="8" t="str">
        <f>VLOOKUP(C92,Gender!$C$3:$D$454,2,FALSE)</f>
        <v>M</v>
      </c>
      <c r="I92" s="8">
        <f t="shared" si="23"/>
        <v>1</v>
      </c>
      <c r="J92" s="8" t="str">
        <f t="shared" si="24"/>
        <v/>
      </c>
      <c r="L92">
        <v>105</v>
      </c>
      <c r="M92">
        <v>12</v>
      </c>
      <c r="N92">
        <v>5</v>
      </c>
      <c r="O92" s="8" t="str">
        <f t="shared" si="25"/>
        <v/>
      </c>
      <c r="P92" s="8" t="str">
        <f t="shared" si="26"/>
        <v/>
      </c>
      <c r="Q92" s="8" t="str">
        <f>VLOOKUP(L92,Gender!$C$3:$D$454,2,FALSE)</f>
        <v>F</v>
      </c>
      <c r="R92" s="8" t="str">
        <f t="shared" si="27"/>
        <v/>
      </c>
      <c r="S92" s="8" t="str">
        <f t="shared" si="28"/>
        <v/>
      </c>
      <c r="U92">
        <v>163</v>
      </c>
      <c r="V92">
        <v>1</v>
      </c>
      <c r="W92">
        <v>3</v>
      </c>
      <c r="X92" s="8">
        <f t="shared" si="29"/>
        <v>0.23850730124391561</v>
      </c>
      <c r="Y92" s="8">
        <f t="shared" si="30"/>
        <v>1</v>
      </c>
      <c r="Z92" s="8" t="str">
        <f>VLOOKUP(U92,Gender!$C$3:$D$454,2,FALSE)</f>
        <v>M</v>
      </c>
      <c r="AA92" s="8">
        <f t="shared" si="31"/>
        <v>3</v>
      </c>
      <c r="AB92" s="8" t="str">
        <f t="shared" si="32"/>
        <v/>
      </c>
    </row>
    <row r="93" spans="3:28" x14ac:dyDescent="0.25">
      <c r="C93">
        <v>80</v>
      </c>
      <c r="D93">
        <v>1</v>
      </c>
      <c r="E93">
        <v>1</v>
      </c>
      <c r="F93" s="8">
        <f t="shared" si="22"/>
        <v>0.23850730124391561</v>
      </c>
      <c r="H93" s="8" t="str">
        <f>VLOOKUP(C93,Gender!$C$3:$D$454,2,FALSE)</f>
        <v>F</v>
      </c>
      <c r="I93" s="8" t="str">
        <f t="shared" si="23"/>
        <v/>
      </c>
      <c r="J93" s="8">
        <f t="shared" si="24"/>
        <v>1</v>
      </c>
      <c r="L93">
        <v>106</v>
      </c>
      <c r="M93">
        <v>384</v>
      </c>
      <c r="N93">
        <v>2</v>
      </c>
      <c r="O93" s="8">
        <f t="shared" si="25"/>
        <v>146315.14548404544</v>
      </c>
      <c r="P93" s="8">
        <f t="shared" si="26"/>
        <v>384</v>
      </c>
      <c r="Q93" s="8" t="str">
        <f>VLOOKUP(L93,Gender!$C$3:$D$454,2,FALSE)</f>
        <v>M</v>
      </c>
      <c r="R93" s="8">
        <f t="shared" si="27"/>
        <v>2</v>
      </c>
      <c r="S93" s="8" t="str">
        <f t="shared" si="28"/>
        <v/>
      </c>
      <c r="U93">
        <v>164</v>
      </c>
      <c r="V93">
        <v>78</v>
      </c>
      <c r="W93">
        <v>3</v>
      </c>
      <c r="X93" s="8">
        <f t="shared" si="29"/>
        <v>5854.0292049756617</v>
      </c>
      <c r="Y93" s="8">
        <f t="shared" si="30"/>
        <v>78</v>
      </c>
      <c r="Z93" s="8" t="str">
        <f>VLOOKUP(U93,Gender!$C$3:$D$454,2,FALSE)</f>
        <v>F</v>
      </c>
      <c r="AA93" s="8" t="str">
        <f t="shared" si="31"/>
        <v/>
      </c>
      <c r="AB93" s="8">
        <f t="shared" si="32"/>
        <v>3</v>
      </c>
    </row>
    <row r="94" spans="3:28" x14ac:dyDescent="0.25">
      <c r="C94">
        <v>81</v>
      </c>
      <c r="D94">
        <v>1</v>
      </c>
      <c r="E94">
        <v>1</v>
      </c>
      <c r="F94" s="8">
        <f t="shared" si="22"/>
        <v>0.23850730124391561</v>
      </c>
      <c r="H94" s="8" t="str">
        <f>VLOOKUP(C94,Gender!$C$3:$D$454,2,FALSE)</f>
        <v>M</v>
      </c>
      <c r="I94" s="8">
        <f t="shared" si="23"/>
        <v>1</v>
      </c>
      <c r="J94" s="8" t="str">
        <f t="shared" si="24"/>
        <v/>
      </c>
      <c r="L94">
        <v>107</v>
      </c>
      <c r="M94">
        <v>60</v>
      </c>
      <c r="N94">
        <v>3</v>
      </c>
      <c r="O94" s="8" t="str">
        <f t="shared" si="25"/>
        <v/>
      </c>
      <c r="P94" s="8" t="str">
        <f t="shared" si="26"/>
        <v/>
      </c>
      <c r="Q94" s="8" t="str">
        <f>VLOOKUP(L94,Gender!$C$3:$D$454,2,FALSE)</f>
        <v>M</v>
      </c>
      <c r="R94" s="8" t="str">
        <f t="shared" si="27"/>
        <v/>
      </c>
      <c r="S94" s="8" t="str">
        <f t="shared" si="28"/>
        <v/>
      </c>
      <c r="U94">
        <v>167</v>
      </c>
      <c r="V94">
        <v>35</v>
      </c>
      <c r="W94">
        <v>5</v>
      </c>
      <c r="X94" s="8" t="str">
        <f t="shared" si="29"/>
        <v/>
      </c>
      <c r="Y94" s="8" t="str">
        <f t="shared" si="30"/>
        <v/>
      </c>
      <c r="Z94" s="8" t="str">
        <f>VLOOKUP(U94,Gender!$C$3:$D$454,2,FALSE)</f>
        <v>M</v>
      </c>
      <c r="AA94" s="8" t="str">
        <f t="shared" si="31"/>
        <v/>
      </c>
      <c r="AB94" s="8" t="str">
        <f t="shared" si="32"/>
        <v/>
      </c>
    </row>
    <row r="95" spans="3:28" x14ac:dyDescent="0.25">
      <c r="C95">
        <v>82</v>
      </c>
      <c r="D95">
        <v>2</v>
      </c>
      <c r="E95">
        <v>1</v>
      </c>
      <c r="F95" s="8">
        <f t="shared" si="22"/>
        <v>0.26176311519740403</v>
      </c>
      <c r="H95" s="8" t="str">
        <f>VLOOKUP(C95,Gender!$C$3:$D$454,2,FALSE)</f>
        <v>M</v>
      </c>
      <c r="I95" s="8">
        <f t="shared" si="23"/>
        <v>1</v>
      </c>
      <c r="J95" s="8" t="str">
        <f t="shared" si="24"/>
        <v/>
      </c>
      <c r="L95">
        <v>108</v>
      </c>
      <c r="M95">
        <v>33</v>
      </c>
      <c r="N95">
        <v>3</v>
      </c>
      <c r="O95" s="8" t="str">
        <f t="shared" si="25"/>
        <v/>
      </c>
      <c r="P95" s="8" t="str">
        <f t="shared" si="26"/>
        <v/>
      </c>
      <c r="Q95" s="8" t="str">
        <f>VLOOKUP(L95,Gender!$C$3:$D$454,2,FALSE)</f>
        <v>M</v>
      </c>
      <c r="R95" s="8" t="str">
        <f t="shared" si="27"/>
        <v/>
      </c>
      <c r="S95" s="8" t="str">
        <f t="shared" si="28"/>
        <v/>
      </c>
      <c r="U95">
        <v>168</v>
      </c>
      <c r="V95">
        <v>17</v>
      </c>
      <c r="W95">
        <v>3</v>
      </c>
      <c r="X95" s="8">
        <f t="shared" si="29"/>
        <v>240.61060032449976</v>
      </c>
      <c r="Y95" s="8">
        <f t="shared" si="30"/>
        <v>17</v>
      </c>
      <c r="Z95" s="8" t="str">
        <f>VLOOKUP(U95,Gender!$C$3:$D$454,2,FALSE)</f>
        <v>F</v>
      </c>
      <c r="AA95" s="8" t="str">
        <f t="shared" si="31"/>
        <v/>
      </c>
      <c r="AB95" s="8">
        <f t="shared" si="32"/>
        <v>3</v>
      </c>
    </row>
    <row r="96" spans="3:28" x14ac:dyDescent="0.25">
      <c r="C96">
        <v>83</v>
      </c>
      <c r="D96">
        <v>2</v>
      </c>
      <c r="E96">
        <v>1</v>
      </c>
      <c r="F96" s="8">
        <f t="shared" si="22"/>
        <v>0.26176311519740403</v>
      </c>
      <c r="H96" s="8" t="str">
        <f>VLOOKUP(C96,Gender!$C$3:$D$454,2,FALSE)</f>
        <v>F</v>
      </c>
      <c r="I96" s="8" t="str">
        <f t="shared" si="23"/>
        <v/>
      </c>
      <c r="J96" s="8">
        <f t="shared" si="24"/>
        <v>1</v>
      </c>
      <c r="L96">
        <v>109</v>
      </c>
      <c r="M96">
        <v>59</v>
      </c>
      <c r="N96">
        <v>2</v>
      </c>
      <c r="O96" s="8">
        <f t="shared" si="25"/>
        <v>3307.5873445105458</v>
      </c>
      <c r="P96" s="8">
        <f t="shared" si="26"/>
        <v>59</v>
      </c>
      <c r="Q96" s="8" t="str">
        <f>VLOOKUP(L96,Gender!$C$3:$D$454,2,FALSE)</f>
        <v>M</v>
      </c>
      <c r="R96" s="8">
        <f t="shared" si="27"/>
        <v>2</v>
      </c>
      <c r="S96" s="8" t="str">
        <f t="shared" si="28"/>
        <v/>
      </c>
      <c r="U96">
        <v>169</v>
      </c>
      <c r="V96">
        <v>12</v>
      </c>
      <c r="W96">
        <v>3</v>
      </c>
      <c r="X96" s="8">
        <f t="shared" si="29"/>
        <v>110.49432125473231</v>
      </c>
      <c r="Y96" s="8">
        <f t="shared" si="30"/>
        <v>12</v>
      </c>
      <c r="Z96" s="8" t="str">
        <f>VLOOKUP(U96,Gender!$C$3:$D$454,2,FALSE)</f>
        <v>F</v>
      </c>
      <c r="AA96" s="8" t="str">
        <f t="shared" si="31"/>
        <v/>
      </c>
      <c r="AB96" s="8">
        <f t="shared" si="32"/>
        <v>3</v>
      </c>
    </row>
    <row r="97" spans="3:28" x14ac:dyDescent="0.25">
      <c r="C97">
        <v>84</v>
      </c>
      <c r="D97">
        <v>1</v>
      </c>
      <c r="E97">
        <v>1</v>
      </c>
      <c r="F97" s="8">
        <f t="shared" si="22"/>
        <v>0.23850730124391561</v>
      </c>
      <c r="H97" s="8" t="str">
        <f>VLOOKUP(C97,Gender!$C$3:$D$454,2,FALSE)</f>
        <v>F</v>
      </c>
      <c r="I97" s="8" t="str">
        <f t="shared" si="23"/>
        <v/>
      </c>
      <c r="J97" s="8">
        <f t="shared" si="24"/>
        <v>1</v>
      </c>
      <c r="L97">
        <v>111</v>
      </c>
      <c r="M97">
        <v>1</v>
      </c>
      <c r="N97">
        <v>2</v>
      </c>
      <c r="O97" s="8">
        <f t="shared" si="25"/>
        <v>0.23850730124391561</v>
      </c>
      <c r="P97" s="8">
        <f t="shared" si="26"/>
        <v>1</v>
      </c>
      <c r="Q97" s="8" t="str">
        <f>VLOOKUP(L97,Gender!$C$3:$D$454,2,FALSE)</f>
        <v>M</v>
      </c>
      <c r="R97" s="8">
        <f t="shared" si="27"/>
        <v>2</v>
      </c>
      <c r="S97" s="8" t="str">
        <f t="shared" si="28"/>
        <v/>
      </c>
      <c r="U97">
        <v>170</v>
      </c>
      <c r="V97">
        <v>55</v>
      </c>
      <c r="W97">
        <v>3</v>
      </c>
      <c r="X97" s="8">
        <f t="shared" si="29"/>
        <v>2863.4943212547319</v>
      </c>
      <c r="Y97" s="8">
        <f t="shared" si="30"/>
        <v>55</v>
      </c>
      <c r="Z97" s="8" t="str">
        <f>VLOOKUP(U97,Gender!$C$3:$D$454,2,FALSE)</f>
        <v>F</v>
      </c>
      <c r="AA97" s="8" t="str">
        <f t="shared" si="31"/>
        <v/>
      </c>
      <c r="AB97" s="8">
        <f t="shared" si="32"/>
        <v>3</v>
      </c>
    </row>
    <row r="98" spans="3:28" x14ac:dyDescent="0.25">
      <c r="C98">
        <v>85</v>
      </c>
      <c r="D98">
        <v>1</v>
      </c>
      <c r="E98">
        <v>1</v>
      </c>
      <c r="F98" s="8">
        <f t="shared" si="22"/>
        <v>0.23850730124391561</v>
      </c>
      <c r="H98" s="8" t="str">
        <f>VLOOKUP(C98,Gender!$C$3:$D$454,2,FALSE)</f>
        <v>M</v>
      </c>
      <c r="I98" s="8">
        <f t="shared" si="23"/>
        <v>1</v>
      </c>
      <c r="J98" s="8" t="str">
        <f t="shared" si="24"/>
        <v/>
      </c>
      <c r="L98">
        <v>112</v>
      </c>
      <c r="M98">
        <v>18</v>
      </c>
      <c r="N98">
        <v>2</v>
      </c>
      <c r="O98" s="8">
        <f t="shared" si="25"/>
        <v>272.63385613845327</v>
      </c>
      <c r="P98" s="8">
        <f t="shared" si="26"/>
        <v>18</v>
      </c>
      <c r="Q98" s="8" t="str">
        <f>VLOOKUP(L98,Gender!$C$3:$D$454,2,FALSE)</f>
        <v>M</v>
      </c>
      <c r="R98" s="8">
        <f t="shared" si="27"/>
        <v>2</v>
      </c>
      <c r="S98" s="8" t="str">
        <f t="shared" si="28"/>
        <v/>
      </c>
      <c r="U98">
        <v>172</v>
      </c>
      <c r="V98">
        <v>121</v>
      </c>
      <c r="W98">
        <v>3</v>
      </c>
      <c r="X98" s="8">
        <f t="shared" si="29"/>
        <v>14283.029204975663</v>
      </c>
      <c r="Y98" s="8">
        <f t="shared" si="30"/>
        <v>121</v>
      </c>
      <c r="Z98" s="8" t="str">
        <f>VLOOKUP(U98,Gender!$C$3:$D$454,2,FALSE)</f>
        <v>M</v>
      </c>
      <c r="AA98" s="8">
        <f t="shared" si="31"/>
        <v>3</v>
      </c>
      <c r="AB98" s="8" t="str">
        <f t="shared" si="32"/>
        <v/>
      </c>
    </row>
    <row r="99" spans="3:28" x14ac:dyDescent="0.25">
      <c r="C99">
        <v>86</v>
      </c>
      <c r="D99">
        <v>4</v>
      </c>
      <c r="E99">
        <v>1</v>
      </c>
      <c r="F99" s="8">
        <f t="shared" si="22"/>
        <v>6.3082747431043806</v>
      </c>
      <c r="H99" s="8" t="str">
        <f>VLOOKUP(C99,Gender!$C$3:$D$454,2,FALSE)</f>
        <v>M</v>
      </c>
      <c r="I99" s="8">
        <f t="shared" si="23"/>
        <v>1</v>
      </c>
      <c r="J99" s="8" t="str">
        <f t="shared" si="24"/>
        <v/>
      </c>
      <c r="L99">
        <v>113</v>
      </c>
      <c r="M99">
        <v>22</v>
      </c>
      <c r="N99">
        <v>2</v>
      </c>
      <c r="O99" s="8">
        <f t="shared" si="25"/>
        <v>420.7268793942672</v>
      </c>
      <c r="P99" s="8">
        <f t="shared" si="26"/>
        <v>22</v>
      </c>
      <c r="Q99" s="8" t="str">
        <f>VLOOKUP(L99,Gender!$C$3:$D$454,2,FALSE)</f>
        <v>F</v>
      </c>
      <c r="R99" s="8" t="str">
        <f t="shared" si="27"/>
        <v/>
      </c>
      <c r="S99" s="8">
        <f t="shared" si="28"/>
        <v>2</v>
      </c>
      <c r="U99">
        <v>177</v>
      </c>
      <c r="V99">
        <v>118</v>
      </c>
      <c r="W99">
        <v>3</v>
      </c>
      <c r="X99" s="8">
        <f t="shared" si="29"/>
        <v>13574.959437533802</v>
      </c>
      <c r="Y99" s="8">
        <f t="shared" si="30"/>
        <v>118</v>
      </c>
      <c r="Z99" s="8" t="str">
        <f>VLOOKUP(U99,Gender!$C$3:$D$454,2,FALSE)</f>
        <v>M</v>
      </c>
      <c r="AA99" s="8">
        <f t="shared" si="31"/>
        <v>3</v>
      </c>
      <c r="AB99" s="8" t="str">
        <f t="shared" si="32"/>
        <v/>
      </c>
    </row>
    <row r="100" spans="3:28" x14ac:dyDescent="0.25">
      <c r="C100">
        <v>87</v>
      </c>
      <c r="D100">
        <v>2</v>
      </c>
      <c r="E100">
        <v>1</v>
      </c>
      <c r="F100" s="8">
        <f t="shared" si="22"/>
        <v>0.26176311519740403</v>
      </c>
      <c r="H100" s="8" t="str">
        <f>VLOOKUP(C100,Gender!$C$3:$D$454,2,FALSE)</f>
        <v>M</v>
      </c>
      <c r="I100" s="8">
        <f t="shared" si="23"/>
        <v>1</v>
      </c>
      <c r="J100" s="8" t="str">
        <f t="shared" si="24"/>
        <v/>
      </c>
      <c r="L100">
        <v>114</v>
      </c>
      <c r="M100">
        <v>27</v>
      </c>
      <c r="N100">
        <v>4</v>
      </c>
      <c r="O100" s="8" t="str">
        <f t="shared" si="25"/>
        <v/>
      </c>
      <c r="P100" s="8" t="str">
        <f t="shared" si="26"/>
        <v/>
      </c>
      <c r="Q100" s="8" t="str">
        <f>VLOOKUP(L100,Gender!$C$3:$D$454,2,FALSE)</f>
        <v>M</v>
      </c>
      <c r="R100" s="8" t="str">
        <f t="shared" si="27"/>
        <v/>
      </c>
      <c r="S100" s="8" t="str">
        <f t="shared" si="28"/>
        <v/>
      </c>
      <c r="U100">
        <v>179</v>
      </c>
      <c r="V100">
        <v>24</v>
      </c>
      <c r="W100">
        <v>4</v>
      </c>
      <c r="X100" s="8" t="str">
        <f t="shared" si="29"/>
        <v/>
      </c>
      <c r="Y100" s="8" t="str">
        <f t="shared" si="30"/>
        <v/>
      </c>
      <c r="Z100" s="8" t="str">
        <f>VLOOKUP(U100,Gender!$C$3:$D$454,2,FALSE)</f>
        <v>M</v>
      </c>
      <c r="AA100" s="8" t="str">
        <f t="shared" si="31"/>
        <v/>
      </c>
      <c r="AB100" s="8" t="str">
        <f t="shared" si="32"/>
        <v/>
      </c>
    </row>
    <row r="101" spans="3:28" x14ac:dyDescent="0.25">
      <c r="C101">
        <v>88</v>
      </c>
      <c r="D101">
        <v>1</v>
      </c>
      <c r="E101">
        <v>2</v>
      </c>
      <c r="F101" s="8" t="str">
        <f t="shared" si="22"/>
        <v/>
      </c>
      <c r="H101" s="8" t="str">
        <f>VLOOKUP(C101,Gender!$C$3:$D$454,2,FALSE)</f>
        <v>M</v>
      </c>
      <c r="I101" s="8" t="str">
        <f t="shared" si="23"/>
        <v/>
      </c>
      <c r="J101" s="8" t="str">
        <f t="shared" si="24"/>
        <v/>
      </c>
      <c r="L101">
        <v>115</v>
      </c>
      <c r="M101">
        <v>100</v>
      </c>
      <c r="N101">
        <v>2</v>
      </c>
      <c r="O101" s="8">
        <f t="shared" si="25"/>
        <v>9704.5408328826379</v>
      </c>
      <c r="P101" s="8">
        <f t="shared" si="26"/>
        <v>100</v>
      </c>
      <c r="Q101" s="8" t="str">
        <f>VLOOKUP(L101,Gender!$C$3:$D$454,2,FALSE)</f>
        <v>M</v>
      </c>
      <c r="R101" s="8">
        <f t="shared" si="27"/>
        <v>2</v>
      </c>
      <c r="S101" s="8" t="str">
        <f t="shared" si="28"/>
        <v/>
      </c>
      <c r="U101">
        <v>181</v>
      </c>
      <c r="V101">
        <v>105</v>
      </c>
      <c r="W101">
        <v>5</v>
      </c>
      <c r="X101" s="8" t="str">
        <f t="shared" si="29"/>
        <v/>
      </c>
      <c r="Y101" s="8" t="str">
        <f t="shared" si="30"/>
        <v/>
      </c>
      <c r="Z101" s="8" t="str">
        <f>VLOOKUP(U101,Gender!$C$3:$D$454,2,FALSE)</f>
        <v>M</v>
      </c>
      <c r="AA101" s="8" t="str">
        <f t="shared" si="31"/>
        <v/>
      </c>
      <c r="AB101" s="8" t="str">
        <f t="shared" si="32"/>
        <v/>
      </c>
    </row>
    <row r="102" spans="3:28" x14ac:dyDescent="0.25">
      <c r="C102">
        <v>89</v>
      </c>
      <c r="D102">
        <v>1</v>
      </c>
      <c r="E102">
        <v>1</v>
      </c>
      <c r="F102" s="8">
        <f t="shared" si="22"/>
        <v>0.23850730124391561</v>
      </c>
      <c r="H102" s="8" t="str">
        <f>VLOOKUP(C102,Gender!$C$3:$D$454,2,FALSE)</f>
        <v>M</v>
      </c>
      <c r="I102" s="8">
        <f t="shared" si="23"/>
        <v>1</v>
      </c>
      <c r="J102" s="8" t="str">
        <f t="shared" si="24"/>
        <v/>
      </c>
      <c r="L102">
        <v>116</v>
      </c>
      <c r="M102">
        <v>52</v>
      </c>
      <c r="N102">
        <v>2</v>
      </c>
      <c r="O102" s="8">
        <f t="shared" si="25"/>
        <v>2551.4245538128716</v>
      </c>
      <c r="P102" s="8">
        <f t="shared" si="26"/>
        <v>52</v>
      </c>
      <c r="Q102" s="8" t="str">
        <f>VLOOKUP(L102,Gender!$C$3:$D$454,2,FALSE)</f>
        <v>M</v>
      </c>
      <c r="R102" s="8">
        <f t="shared" si="27"/>
        <v>2</v>
      </c>
      <c r="S102" s="8" t="str">
        <f t="shared" si="28"/>
        <v/>
      </c>
      <c r="U102">
        <v>186</v>
      </c>
      <c r="V102">
        <v>28</v>
      </c>
      <c r="W102">
        <v>3</v>
      </c>
      <c r="X102" s="8">
        <f t="shared" si="29"/>
        <v>702.86641427798816</v>
      </c>
      <c r="Y102" s="8">
        <f t="shared" si="30"/>
        <v>28</v>
      </c>
      <c r="Z102" s="8" t="str">
        <f>VLOOKUP(U102,Gender!$C$3:$D$454,2,FALSE)</f>
        <v>M</v>
      </c>
      <c r="AA102" s="8">
        <f t="shared" si="31"/>
        <v>3</v>
      </c>
      <c r="AB102" s="8" t="str">
        <f t="shared" si="32"/>
        <v/>
      </c>
    </row>
    <row r="103" spans="3:28" x14ac:dyDescent="0.25">
      <c r="C103">
        <v>90</v>
      </c>
      <c r="D103">
        <v>1</v>
      </c>
      <c r="E103">
        <v>1</v>
      </c>
      <c r="F103" s="8">
        <f t="shared" si="22"/>
        <v>0.23850730124391561</v>
      </c>
      <c r="H103" s="8" t="str">
        <f>VLOOKUP(C103,Gender!$C$3:$D$454,2,FALSE)</f>
        <v>M</v>
      </c>
      <c r="I103" s="8">
        <f t="shared" si="23"/>
        <v>1</v>
      </c>
      <c r="J103" s="8" t="str">
        <f t="shared" si="24"/>
        <v/>
      </c>
      <c r="L103">
        <v>117</v>
      </c>
      <c r="M103">
        <v>30</v>
      </c>
      <c r="N103">
        <v>3</v>
      </c>
      <c r="O103" s="8" t="str">
        <f t="shared" si="25"/>
        <v/>
      </c>
      <c r="P103" s="8" t="str">
        <f t="shared" si="26"/>
        <v/>
      </c>
      <c r="Q103" s="8" t="str">
        <f>VLOOKUP(L103,Gender!$C$3:$D$454,2,FALSE)</f>
        <v>M</v>
      </c>
      <c r="R103" s="8" t="str">
        <f t="shared" si="27"/>
        <v/>
      </c>
      <c r="S103" s="8" t="str">
        <f t="shared" si="28"/>
        <v/>
      </c>
      <c r="U103">
        <v>187</v>
      </c>
      <c r="V103">
        <v>14</v>
      </c>
      <c r="W103">
        <v>4</v>
      </c>
      <c r="X103" s="8" t="str">
        <f t="shared" si="29"/>
        <v/>
      </c>
      <c r="Y103" s="8" t="str">
        <f t="shared" si="30"/>
        <v/>
      </c>
      <c r="Z103" s="8" t="str">
        <f>VLOOKUP(U103,Gender!$C$3:$D$454,2,FALSE)</f>
        <v>M</v>
      </c>
      <c r="AA103" s="8" t="str">
        <f t="shared" si="31"/>
        <v/>
      </c>
      <c r="AB103" s="8" t="str">
        <f t="shared" si="32"/>
        <v/>
      </c>
    </row>
    <row r="104" spans="3:28" x14ac:dyDescent="0.25">
      <c r="C104">
        <v>91</v>
      </c>
      <c r="D104">
        <v>1</v>
      </c>
      <c r="E104">
        <v>1</v>
      </c>
      <c r="F104" s="8">
        <f t="shared" si="22"/>
        <v>0.23850730124391561</v>
      </c>
      <c r="H104" s="8" t="str">
        <f>VLOOKUP(C104,Gender!$C$3:$D$454,2,FALSE)</f>
        <v>M</v>
      </c>
      <c r="I104" s="8">
        <f t="shared" si="23"/>
        <v>1</v>
      </c>
      <c r="J104" s="8" t="str">
        <f t="shared" si="24"/>
        <v/>
      </c>
      <c r="L104">
        <v>118</v>
      </c>
      <c r="M104">
        <v>8</v>
      </c>
      <c r="N104">
        <v>2</v>
      </c>
      <c r="O104" s="8">
        <f t="shared" si="25"/>
        <v>42.401297998918338</v>
      </c>
      <c r="P104" s="8">
        <f t="shared" si="26"/>
        <v>8</v>
      </c>
      <c r="Q104" s="8" t="str">
        <f>VLOOKUP(L104,Gender!$C$3:$D$454,2,FALSE)</f>
        <v>F</v>
      </c>
      <c r="R104" s="8" t="str">
        <f t="shared" si="27"/>
        <v/>
      </c>
      <c r="S104" s="8">
        <f t="shared" si="28"/>
        <v>2</v>
      </c>
      <c r="U104">
        <v>189</v>
      </c>
      <c r="V104">
        <v>99</v>
      </c>
      <c r="W104">
        <v>3</v>
      </c>
      <c r="X104" s="8">
        <f t="shared" si="29"/>
        <v>9508.5175770686856</v>
      </c>
      <c r="Y104" s="8">
        <f t="shared" si="30"/>
        <v>99</v>
      </c>
      <c r="Z104" s="8" t="str">
        <f>VLOOKUP(U104,Gender!$C$3:$D$454,2,FALSE)</f>
        <v>M</v>
      </c>
      <c r="AA104" s="8">
        <f t="shared" si="31"/>
        <v>3</v>
      </c>
      <c r="AB104" s="8" t="str">
        <f t="shared" si="32"/>
        <v/>
      </c>
    </row>
    <row r="105" spans="3:28" x14ac:dyDescent="0.25">
      <c r="C105">
        <v>92</v>
      </c>
      <c r="D105">
        <v>6</v>
      </c>
      <c r="E105">
        <v>1</v>
      </c>
      <c r="F105" s="8">
        <f t="shared" si="22"/>
        <v>20.354786371011357</v>
      </c>
      <c r="H105" s="8" t="str">
        <f>VLOOKUP(C105,Gender!$C$3:$D$454,2,FALSE)</f>
        <v>M</v>
      </c>
      <c r="I105" s="8">
        <f t="shared" si="23"/>
        <v>1</v>
      </c>
      <c r="J105" s="8" t="str">
        <f t="shared" si="24"/>
        <v/>
      </c>
      <c r="L105">
        <v>119</v>
      </c>
      <c r="M105">
        <v>1</v>
      </c>
      <c r="N105">
        <v>2</v>
      </c>
      <c r="O105" s="8">
        <f t="shared" si="25"/>
        <v>0.23850730124391561</v>
      </c>
      <c r="P105" s="8">
        <f t="shared" si="26"/>
        <v>1</v>
      </c>
      <c r="Q105" s="8" t="str">
        <f>VLOOKUP(L105,Gender!$C$3:$D$454,2,FALSE)</f>
        <v>M</v>
      </c>
      <c r="R105" s="8">
        <f t="shared" si="27"/>
        <v>2</v>
      </c>
      <c r="S105" s="8" t="str">
        <f t="shared" si="28"/>
        <v/>
      </c>
      <c r="U105">
        <v>190</v>
      </c>
      <c r="V105">
        <v>133</v>
      </c>
      <c r="W105">
        <v>3</v>
      </c>
      <c r="X105" s="8">
        <f t="shared" si="29"/>
        <v>17295.308274743104</v>
      </c>
      <c r="Y105" s="8">
        <f t="shared" si="30"/>
        <v>133</v>
      </c>
      <c r="Z105" s="8" t="str">
        <f>VLOOKUP(U105,Gender!$C$3:$D$454,2,FALSE)</f>
        <v>M</v>
      </c>
      <c r="AA105" s="8">
        <f t="shared" si="31"/>
        <v>3</v>
      </c>
      <c r="AB105" s="8" t="str">
        <f t="shared" si="32"/>
        <v/>
      </c>
    </row>
    <row r="106" spans="3:28" x14ac:dyDescent="0.25">
      <c r="C106">
        <v>93</v>
      </c>
      <c r="D106">
        <v>1</v>
      </c>
      <c r="E106">
        <v>1</v>
      </c>
      <c r="F106" s="8">
        <f t="shared" si="22"/>
        <v>0.23850730124391561</v>
      </c>
      <c r="H106" s="8" t="str">
        <f>VLOOKUP(C106,Gender!$C$3:$D$454,2,FALSE)</f>
        <v>M</v>
      </c>
      <c r="I106" s="8">
        <f t="shared" si="23"/>
        <v>1</v>
      </c>
      <c r="J106" s="8" t="str">
        <f t="shared" si="24"/>
        <v/>
      </c>
      <c r="L106">
        <v>120</v>
      </c>
      <c r="M106">
        <v>173</v>
      </c>
      <c r="N106">
        <v>2</v>
      </c>
      <c r="O106" s="8">
        <f t="shared" si="25"/>
        <v>29416.238507301245</v>
      </c>
      <c r="P106" s="8">
        <f t="shared" si="26"/>
        <v>173</v>
      </c>
      <c r="Q106" s="8" t="str">
        <f>VLOOKUP(L106,Gender!$C$3:$D$454,2,FALSE)</f>
        <v>M</v>
      </c>
      <c r="R106" s="8">
        <f t="shared" si="27"/>
        <v>2</v>
      </c>
      <c r="S106" s="8" t="str">
        <f t="shared" si="28"/>
        <v/>
      </c>
      <c r="U106">
        <v>192</v>
      </c>
      <c r="V106">
        <v>25</v>
      </c>
      <c r="W106">
        <v>3</v>
      </c>
      <c r="X106" s="8">
        <f t="shared" si="29"/>
        <v>552.79664683612771</v>
      </c>
      <c r="Y106" s="8">
        <f t="shared" si="30"/>
        <v>25</v>
      </c>
      <c r="Z106" s="8" t="str">
        <f>VLOOKUP(U106,Gender!$C$3:$D$454,2,FALSE)</f>
        <v>M</v>
      </c>
      <c r="AA106" s="8">
        <f t="shared" si="31"/>
        <v>3</v>
      </c>
      <c r="AB106" s="8" t="str">
        <f t="shared" si="32"/>
        <v/>
      </c>
    </row>
    <row r="107" spans="3:28" x14ac:dyDescent="0.25">
      <c r="C107">
        <v>94</v>
      </c>
      <c r="D107">
        <v>1</v>
      </c>
      <c r="E107">
        <v>1</v>
      </c>
      <c r="F107" s="8">
        <f t="shared" si="22"/>
        <v>0.23850730124391561</v>
      </c>
      <c r="H107" s="8" t="str">
        <f>VLOOKUP(C107,Gender!$C$3:$D$454,2,FALSE)</f>
        <v>M</v>
      </c>
      <c r="I107" s="8">
        <f t="shared" si="23"/>
        <v>1</v>
      </c>
      <c r="J107" s="8" t="str">
        <f t="shared" si="24"/>
        <v/>
      </c>
      <c r="L107">
        <v>121</v>
      </c>
      <c r="M107">
        <v>120</v>
      </c>
      <c r="N107">
        <v>3</v>
      </c>
      <c r="O107" s="8" t="str">
        <f t="shared" si="25"/>
        <v/>
      </c>
      <c r="P107" s="8" t="str">
        <f t="shared" si="26"/>
        <v/>
      </c>
      <c r="Q107" s="8" t="str">
        <f>VLOOKUP(L107,Gender!$C$3:$D$454,2,FALSE)</f>
        <v>M</v>
      </c>
      <c r="R107" s="8" t="str">
        <f t="shared" si="27"/>
        <v/>
      </c>
      <c r="S107" s="8" t="str">
        <f t="shared" si="28"/>
        <v/>
      </c>
      <c r="U107">
        <v>193</v>
      </c>
      <c r="V107">
        <v>133</v>
      </c>
      <c r="W107">
        <v>3</v>
      </c>
      <c r="X107" s="8">
        <f t="shared" si="29"/>
        <v>17295.308274743104</v>
      </c>
      <c r="Y107" s="8">
        <f t="shared" si="30"/>
        <v>133</v>
      </c>
      <c r="Z107" s="8" t="str">
        <f>VLOOKUP(U107,Gender!$C$3:$D$454,2,FALSE)</f>
        <v>M</v>
      </c>
      <c r="AA107" s="8">
        <f t="shared" si="31"/>
        <v>3</v>
      </c>
      <c r="AB107" s="8" t="str">
        <f t="shared" si="32"/>
        <v/>
      </c>
    </row>
    <row r="108" spans="3:28" x14ac:dyDescent="0.25">
      <c r="C108">
        <v>95</v>
      </c>
      <c r="D108">
        <v>1</v>
      </c>
      <c r="E108">
        <v>1</v>
      </c>
      <c r="F108" s="8">
        <f t="shared" si="22"/>
        <v>0.23850730124391561</v>
      </c>
      <c r="H108" s="8" t="str">
        <f>VLOOKUP(C108,Gender!$C$3:$D$454,2,FALSE)</f>
        <v>M</v>
      </c>
      <c r="I108" s="8">
        <f t="shared" si="23"/>
        <v>1</v>
      </c>
      <c r="J108" s="8" t="str">
        <f t="shared" si="24"/>
        <v/>
      </c>
      <c r="L108">
        <v>122</v>
      </c>
      <c r="M108">
        <v>65</v>
      </c>
      <c r="N108">
        <v>2</v>
      </c>
      <c r="O108" s="8">
        <f t="shared" si="25"/>
        <v>4033.7268793942667</v>
      </c>
      <c r="P108" s="8">
        <f t="shared" si="26"/>
        <v>65</v>
      </c>
      <c r="Q108" s="8" t="str">
        <f>VLOOKUP(L108,Gender!$C$3:$D$454,2,FALSE)</f>
        <v>M</v>
      </c>
      <c r="R108" s="8">
        <f t="shared" si="27"/>
        <v>2</v>
      </c>
      <c r="S108" s="8" t="str">
        <f t="shared" si="28"/>
        <v/>
      </c>
      <c r="U108">
        <v>194</v>
      </c>
      <c r="V108">
        <v>76</v>
      </c>
      <c r="W108">
        <v>4</v>
      </c>
      <c r="X108" s="8" t="str">
        <f t="shared" si="29"/>
        <v/>
      </c>
      <c r="Y108" s="8" t="str">
        <f t="shared" si="30"/>
        <v/>
      </c>
      <c r="Z108" s="8" t="str">
        <f>VLOOKUP(U108,Gender!$C$3:$D$454,2,FALSE)</f>
        <v>M</v>
      </c>
      <c r="AA108" s="8" t="str">
        <f t="shared" si="31"/>
        <v/>
      </c>
      <c r="AB108" s="8" t="str">
        <f t="shared" si="32"/>
        <v/>
      </c>
    </row>
    <row r="109" spans="3:28" x14ac:dyDescent="0.25">
      <c r="C109">
        <v>96</v>
      </c>
      <c r="D109">
        <v>1</v>
      </c>
      <c r="E109">
        <v>3</v>
      </c>
      <c r="F109" s="8" t="str">
        <f t="shared" si="22"/>
        <v/>
      </c>
      <c r="H109" s="8" t="str">
        <f>VLOOKUP(C109,Gender!$C$3:$D$454,2,FALSE)</f>
        <v>M</v>
      </c>
      <c r="I109" s="8" t="str">
        <f t="shared" si="23"/>
        <v/>
      </c>
      <c r="J109" s="8" t="str">
        <f t="shared" si="24"/>
        <v/>
      </c>
      <c r="L109">
        <v>125</v>
      </c>
      <c r="M109">
        <v>146</v>
      </c>
      <c r="N109">
        <v>2</v>
      </c>
      <c r="O109" s="8">
        <f t="shared" si="25"/>
        <v>20883.6106003245</v>
      </c>
      <c r="P109" s="8">
        <f t="shared" si="26"/>
        <v>146</v>
      </c>
      <c r="Q109" s="8" t="str">
        <f>VLOOKUP(L109,Gender!$C$3:$D$454,2,FALSE)</f>
        <v>M</v>
      </c>
      <c r="R109" s="8">
        <f t="shared" si="27"/>
        <v>2</v>
      </c>
      <c r="S109" s="8" t="str">
        <f t="shared" si="28"/>
        <v/>
      </c>
      <c r="U109">
        <v>195</v>
      </c>
      <c r="V109">
        <v>8</v>
      </c>
      <c r="W109">
        <v>5</v>
      </c>
      <c r="X109" s="8" t="str">
        <f t="shared" si="29"/>
        <v/>
      </c>
      <c r="Y109" s="8" t="str">
        <f t="shared" si="30"/>
        <v/>
      </c>
      <c r="Z109" s="8" t="str">
        <f>VLOOKUP(U109,Gender!$C$3:$D$454,2,FALSE)</f>
        <v>M</v>
      </c>
      <c r="AA109" s="8" t="str">
        <f t="shared" si="31"/>
        <v/>
      </c>
      <c r="AB109" s="8" t="str">
        <f t="shared" si="32"/>
        <v/>
      </c>
    </row>
    <row r="110" spans="3:28" x14ac:dyDescent="0.25">
      <c r="C110">
        <v>97</v>
      </c>
      <c r="D110">
        <v>1</v>
      </c>
      <c r="E110">
        <v>1</v>
      </c>
      <c r="F110" s="8">
        <f t="shared" si="22"/>
        <v>0.23850730124391561</v>
      </c>
      <c r="H110" s="8" t="str">
        <f>VLOOKUP(C110,Gender!$C$3:$D$454,2,FALSE)</f>
        <v>M</v>
      </c>
      <c r="I110" s="8">
        <f t="shared" si="23"/>
        <v>1</v>
      </c>
      <c r="J110" s="8" t="str">
        <f t="shared" si="24"/>
        <v/>
      </c>
      <c r="L110">
        <v>127</v>
      </c>
      <c r="M110">
        <v>141</v>
      </c>
      <c r="N110">
        <v>3</v>
      </c>
      <c r="O110" s="8" t="str">
        <f t="shared" si="25"/>
        <v/>
      </c>
      <c r="P110" s="8" t="str">
        <f t="shared" si="26"/>
        <v/>
      </c>
      <c r="Q110" s="8" t="str">
        <f>VLOOKUP(L110,Gender!$C$3:$D$454,2,FALSE)</f>
        <v>M</v>
      </c>
      <c r="R110" s="8" t="str">
        <f t="shared" si="27"/>
        <v/>
      </c>
      <c r="S110" s="8" t="str">
        <f t="shared" si="28"/>
        <v/>
      </c>
      <c r="U110">
        <v>197</v>
      </c>
      <c r="V110">
        <v>6</v>
      </c>
      <c r="W110">
        <v>3</v>
      </c>
      <c r="X110" s="8">
        <f t="shared" si="29"/>
        <v>20.354786371011357</v>
      </c>
      <c r="Y110" s="8">
        <f t="shared" si="30"/>
        <v>6</v>
      </c>
      <c r="Z110" s="8" t="str">
        <f>VLOOKUP(U110,Gender!$C$3:$D$454,2,FALSE)</f>
        <v>M</v>
      </c>
      <c r="AA110" s="8">
        <f t="shared" si="31"/>
        <v>3</v>
      </c>
      <c r="AB110" s="8" t="str">
        <f t="shared" si="32"/>
        <v/>
      </c>
    </row>
    <row r="111" spans="3:28" x14ac:dyDescent="0.25">
      <c r="C111">
        <v>98</v>
      </c>
      <c r="D111">
        <v>1</v>
      </c>
      <c r="E111">
        <v>2</v>
      </c>
      <c r="F111" s="8" t="str">
        <f t="shared" si="22"/>
        <v/>
      </c>
      <c r="H111" s="8" t="str">
        <f>VLOOKUP(C111,Gender!$C$3:$D$454,2,FALSE)</f>
        <v>F</v>
      </c>
      <c r="I111" s="8" t="str">
        <f t="shared" si="23"/>
        <v/>
      </c>
      <c r="J111" s="8" t="str">
        <f t="shared" si="24"/>
        <v/>
      </c>
      <c r="L111">
        <v>128</v>
      </c>
      <c r="M111">
        <v>1</v>
      </c>
      <c r="N111">
        <v>2</v>
      </c>
      <c r="O111" s="8">
        <f t="shared" si="25"/>
        <v>0.23850730124391561</v>
      </c>
      <c r="P111" s="8">
        <f t="shared" si="26"/>
        <v>1</v>
      </c>
      <c r="Q111" s="8" t="str">
        <f>VLOOKUP(L111,Gender!$C$3:$D$454,2,FALSE)</f>
        <v>M</v>
      </c>
      <c r="R111" s="8">
        <f t="shared" si="27"/>
        <v>2</v>
      </c>
      <c r="S111" s="8" t="str">
        <f t="shared" si="28"/>
        <v/>
      </c>
      <c r="U111">
        <v>200</v>
      </c>
      <c r="V111">
        <v>12</v>
      </c>
      <c r="W111">
        <v>4</v>
      </c>
      <c r="X111" s="8" t="str">
        <f t="shared" si="29"/>
        <v/>
      </c>
      <c r="Y111" s="8" t="str">
        <f t="shared" si="30"/>
        <v/>
      </c>
      <c r="Z111" s="8" t="str">
        <f>VLOOKUP(U111,Gender!$C$3:$D$454,2,FALSE)</f>
        <v>F</v>
      </c>
      <c r="AA111" s="8" t="str">
        <f t="shared" si="31"/>
        <v/>
      </c>
      <c r="AB111" s="8" t="str">
        <f t="shared" si="32"/>
        <v/>
      </c>
    </row>
    <row r="112" spans="3:28" x14ac:dyDescent="0.25">
      <c r="C112">
        <v>99</v>
      </c>
      <c r="D112">
        <v>1</v>
      </c>
      <c r="E112">
        <v>1</v>
      </c>
      <c r="F112" s="8">
        <f t="shared" si="22"/>
        <v>0.23850730124391561</v>
      </c>
      <c r="H112" s="8" t="str">
        <f>VLOOKUP(C112,Gender!$C$3:$D$454,2,FALSE)</f>
        <v>M</v>
      </c>
      <c r="I112" s="8">
        <f t="shared" si="23"/>
        <v>1</v>
      </c>
      <c r="J112" s="8" t="str">
        <f t="shared" si="24"/>
        <v/>
      </c>
      <c r="L112">
        <v>129</v>
      </c>
      <c r="M112">
        <v>18</v>
      </c>
      <c r="N112">
        <v>3</v>
      </c>
      <c r="O112" s="8" t="str">
        <f t="shared" si="25"/>
        <v/>
      </c>
      <c r="P112" s="8" t="str">
        <f t="shared" si="26"/>
        <v/>
      </c>
      <c r="Q112" s="8" t="str">
        <f>VLOOKUP(L112,Gender!$C$3:$D$454,2,FALSE)</f>
        <v>M</v>
      </c>
      <c r="R112" s="8" t="str">
        <f t="shared" si="27"/>
        <v/>
      </c>
      <c r="S112" s="8" t="str">
        <f t="shared" si="28"/>
        <v/>
      </c>
      <c r="U112">
        <v>201</v>
      </c>
      <c r="V112">
        <v>13</v>
      </c>
      <c r="W112">
        <v>5</v>
      </c>
      <c r="X112" s="8" t="str">
        <f t="shared" si="29"/>
        <v/>
      </c>
      <c r="Y112" s="8" t="str">
        <f t="shared" si="30"/>
        <v/>
      </c>
      <c r="Z112" s="8" t="str">
        <f>VLOOKUP(U112,Gender!$C$3:$D$454,2,FALSE)</f>
        <v>F</v>
      </c>
      <c r="AA112" s="8" t="str">
        <f t="shared" si="31"/>
        <v/>
      </c>
      <c r="AB112" s="8" t="str">
        <f t="shared" si="32"/>
        <v/>
      </c>
    </row>
    <row r="113" spans="3:28" x14ac:dyDescent="0.25">
      <c r="C113">
        <v>100</v>
      </c>
      <c r="D113">
        <v>3</v>
      </c>
      <c r="E113">
        <v>1</v>
      </c>
      <c r="F113" s="8">
        <f t="shared" si="22"/>
        <v>2.2850189291508922</v>
      </c>
      <c r="H113" s="8" t="str">
        <f>VLOOKUP(C113,Gender!$C$3:$D$454,2,FALSE)</f>
        <v>M</v>
      </c>
      <c r="I113" s="8">
        <f t="shared" si="23"/>
        <v>1</v>
      </c>
      <c r="J113" s="8" t="str">
        <f t="shared" si="24"/>
        <v/>
      </c>
      <c r="L113">
        <v>131</v>
      </c>
      <c r="M113">
        <v>112</v>
      </c>
      <c r="N113">
        <v>4</v>
      </c>
      <c r="O113" s="8" t="str">
        <f t="shared" si="25"/>
        <v/>
      </c>
      <c r="P113" s="8" t="str">
        <f t="shared" si="26"/>
        <v/>
      </c>
      <c r="Q113" s="8" t="str">
        <f>VLOOKUP(L113,Gender!$C$3:$D$454,2,FALSE)</f>
        <v>M</v>
      </c>
      <c r="R113" s="8" t="str">
        <f t="shared" si="27"/>
        <v/>
      </c>
      <c r="S113" s="8" t="str">
        <f t="shared" si="28"/>
        <v/>
      </c>
      <c r="U113">
        <v>202</v>
      </c>
      <c r="V113">
        <v>56</v>
      </c>
      <c r="W113">
        <v>3</v>
      </c>
      <c r="X113" s="8">
        <f t="shared" si="29"/>
        <v>2971.5175770686856</v>
      </c>
      <c r="Y113" s="8">
        <f t="shared" si="30"/>
        <v>56</v>
      </c>
      <c r="Z113" s="8" t="str">
        <f>VLOOKUP(U113,Gender!$C$3:$D$454,2,FALSE)</f>
        <v>F</v>
      </c>
      <c r="AA113" s="8" t="str">
        <f t="shared" si="31"/>
        <v/>
      </c>
      <c r="AB113" s="8">
        <f t="shared" si="32"/>
        <v>3</v>
      </c>
    </row>
    <row r="114" spans="3:28" x14ac:dyDescent="0.25">
      <c r="C114">
        <v>101</v>
      </c>
      <c r="D114">
        <v>1</v>
      </c>
      <c r="E114">
        <v>1</v>
      </c>
      <c r="F114" s="8">
        <f t="shared" si="22"/>
        <v>0.23850730124391561</v>
      </c>
      <c r="H114" s="8" t="str">
        <f>VLOOKUP(C114,Gender!$C$3:$D$454,2,FALSE)</f>
        <v>M</v>
      </c>
      <c r="I114" s="8">
        <f t="shared" si="23"/>
        <v>1</v>
      </c>
      <c r="J114" s="8" t="str">
        <f t="shared" si="24"/>
        <v/>
      </c>
      <c r="L114">
        <v>132</v>
      </c>
      <c r="M114">
        <v>1</v>
      </c>
      <c r="N114">
        <v>2</v>
      </c>
      <c r="O114" s="8">
        <f t="shared" si="25"/>
        <v>0.23850730124391561</v>
      </c>
      <c r="P114" s="8">
        <f t="shared" si="26"/>
        <v>1</v>
      </c>
      <c r="Q114" s="8" t="str">
        <f>VLOOKUP(L114,Gender!$C$3:$D$454,2,FALSE)</f>
        <v>M</v>
      </c>
      <c r="R114" s="8">
        <f t="shared" si="27"/>
        <v>2</v>
      </c>
      <c r="S114" s="8" t="str">
        <f t="shared" si="28"/>
        <v/>
      </c>
      <c r="U114">
        <v>204</v>
      </c>
      <c r="V114">
        <v>94</v>
      </c>
      <c r="W114">
        <v>3</v>
      </c>
      <c r="X114" s="8">
        <f t="shared" si="29"/>
        <v>8558.4012979989184</v>
      </c>
      <c r="Y114" s="8">
        <f t="shared" si="30"/>
        <v>94</v>
      </c>
      <c r="Z114" s="8" t="str">
        <f>VLOOKUP(U114,Gender!$C$3:$D$454,2,FALSE)</f>
        <v>M</v>
      </c>
      <c r="AA114" s="8">
        <f t="shared" si="31"/>
        <v>3</v>
      </c>
      <c r="AB114" s="8" t="str">
        <f t="shared" si="32"/>
        <v/>
      </c>
    </row>
    <row r="115" spans="3:28" x14ac:dyDescent="0.25">
      <c r="C115">
        <v>102</v>
      </c>
      <c r="D115">
        <v>1</v>
      </c>
      <c r="E115">
        <v>1</v>
      </c>
      <c r="F115" s="8">
        <f t="shared" si="22"/>
        <v>0.23850730124391561</v>
      </c>
      <c r="H115" s="8" t="str">
        <f>VLOOKUP(C115,Gender!$C$3:$D$454,2,FALSE)</f>
        <v>F</v>
      </c>
      <c r="I115" s="8" t="str">
        <f t="shared" si="23"/>
        <v/>
      </c>
      <c r="J115" s="8">
        <f t="shared" si="24"/>
        <v>1</v>
      </c>
      <c r="L115">
        <v>133</v>
      </c>
      <c r="M115">
        <v>48</v>
      </c>
      <c r="N115">
        <v>4</v>
      </c>
      <c r="O115" s="8" t="str">
        <f t="shared" si="25"/>
        <v/>
      </c>
      <c r="P115" s="8" t="str">
        <f t="shared" si="26"/>
        <v/>
      </c>
      <c r="Q115" s="8" t="str">
        <f>VLOOKUP(L115,Gender!$C$3:$D$454,2,FALSE)</f>
        <v>M</v>
      </c>
      <c r="R115" s="8" t="str">
        <f t="shared" si="27"/>
        <v/>
      </c>
      <c r="S115" s="8" t="str">
        <f t="shared" si="28"/>
        <v/>
      </c>
      <c r="U115">
        <v>206</v>
      </c>
      <c r="V115">
        <v>32</v>
      </c>
      <c r="W115">
        <v>3</v>
      </c>
      <c r="X115" s="8">
        <f t="shared" si="29"/>
        <v>930.95943753380209</v>
      </c>
      <c r="Y115" s="8">
        <f t="shared" si="30"/>
        <v>32</v>
      </c>
      <c r="Z115" s="8" t="str">
        <f>VLOOKUP(U115,Gender!$C$3:$D$454,2,FALSE)</f>
        <v>M</v>
      </c>
      <c r="AA115" s="8">
        <f t="shared" si="31"/>
        <v>3</v>
      </c>
      <c r="AB115" s="8" t="str">
        <f t="shared" si="32"/>
        <v/>
      </c>
    </row>
    <row r="116" spans="3:28" x14ac:dyDescent="0.25">
      <c r="C116">
        <v>103</v>
      </c>
      <c r="D116">
        <v>1</v>
      </c>
      <c r="E116">
        <v>1</v>
      </c>
      <c r="F116" s="8">
        <f t="shared" si="22"/>
        <v>0.23850730124391561</v>
      </c>
      <c r="H116" s="8" t="str">
        <f>VLOOKUP(C116,Gender!$C$3:$D$454,2,FALSE)</f>
        <v>M</v>
      </c>
      <c r="I116" s="8">
        <f t="shared" si="23"/>
        <v>1</v>
      </c>
      <c r="J116" s="8" t="str">
        <f t="shared" si="24"/>
        <v/>
      </c>
      <c r="L116">
        <v>134</v>
      </c>
      <c r="M116">
        <v>32</v>
      </c>
      <c r="N116">
        <v>3</v>
      </c>
      <c r="O116" s="8" t="str">
        <f t="shared" si="25"/>
        <v/>
      </c>
      <c r="P116" s="8" t="str">
        <f t="shared" si="26"/>
        <v/>
      </c>
      <c r="Q116" s="8" t="str">
        <f>VLOOKUP(L116,Gender!$C$3:$D$454,2,FALSE)</f>
        <v>F</v>
      </c>
      <c r="R116" s="8" t="str">
        <f t="shared" si="27"/>
        <v/>
      </c>
      <c r="S116" s="8" t="str">
        <f t="shared" si="28"/>
        <v/>
      </c>
      <c r="U116">
        <v>208</v>
      </c>
      <c r="V116">
        <v>41</v>
      </c>
      <c r="W116">
        <v>3</v>
      </c>
      <c r="X116" s="8">
        <f t="shared" si="29"/>
        <v>1561.1687398593833</v>
      </c>
      <c r="Y116" s="8">
        <f t="shared" si="30"/>
        <v>41</v>
      </c>
      <c r="Z116" s="8" t="str">
        <f>VLOOKUP(U116,Gender!$C$3:$D$454,2,FALSE)</f>
        <v>M</v>
      </c>
      <c r="AA116" s="8">
        <f t="shared" si="31"/>
        <v>3</v>
      </c>
      <c r="AB116" s="8" t="str">
        <f t="shared" si="32"/>
        <v/>
      </c>
    </row>
    <row r="117" spans="3:28" x14ac:dyDescent="0.25">
      <c r="C117">
        <v>104</v>
      </c>
      <c r="D117">
        <v>1</v>
      </c>
      <c r="E117">
        <v>2</v>
      </c>
      <c r="F117" s="8" t="str">
        <f t="shared" si="22"/>
        <v/>
      </c>
      <c r="H117" s="8" t="str">
        <f>VLOOKUP(C117,Gender!$C$3:$D$454,2,FALSE)</f>
        <v>F</v>
      </c>
      <c r="I117" s="8" t="str">
        <f t="shared" si="23"/>
        <v/>
      </c>
      <c r="J117" s="8" t="str">
        <f t="shared" si="24"/>
        <v/>
      </c>
      <c r="L117">
        <v>135</v>
      </c>
      <c r="M117">
        <v>29</v>
      </c>
      <c r="N117">
        <v>3</v>
      </c>
      <c r="O117" s="8" t="str">
        <f t="shared" si="25"/>
        <v/>
      </c>
      <c r="P117" s="8" t="str">
        <f t="shared" si="26"/>
        <v/>
      </c>
      <c r="Q117" s="8" t="str">
        <f>VLOOKUP(L117,Gender!$C$3:$D$454,2,FALSE)</f>
        <v>M</v>
      </c>
      <c r="R117" s="8" t="str">
        <f t="shared" si="27"/>
        <v/>
      </c>
      <c r="S117" s="8" t="str">
        <f t="shared" si="28"/>
        <v/>
      </c>
      <c r="U117">
        <v>209</v>
      </c>
      <c r="V117">
        <v>12</v>
      </c>
      <c r="W117">
        <v>3</v>
      </c>
      <c r="X117" s="8">
        <f t="shared" si="29"/>
        <v>110.49432125473231</v>
      </c>
      <c r="Y117" s="8">
        <f t="shared" si="30"/>
        <v>12</v>
      </c>
      <c r="Z117" s="8" t="str">
        <f>VLOOKUP(U117,Gender!$C$3:$D$454,2,FALSE)</f>
        <v>F</v>
      </c>
      <c r="AA117" s="8" t="str">
        <f t="shared" si="31"/>
        <v/>
      </c>
      <c r="AB117" s="8">
        <f t="shared" si="32"/>
        <v>3</v>
      </c>
    </row>
    <row r="118" spans="3:28" x14ac:dyDescent="0.25">
      <c r="C118">
        <v>105</v>
      </c>
      <c r="D118">
        <v>1</v>
      </c>
      <c r="E118">
        <v>1</v>
      </c>
      <c r="F118" s="8">
        <f t="shared" si="22"/>
        <v>0.23850730124391561</v>
      </c>
      <c r="H118" s="8" t="str">
        <f>VLOOKUP(C118,Gender!$C$3:$D$454,2,FALSE)</f>
        <v>F</v>
      </c>
      <c r="I118" s="8" t="str">
        <f t="shared" si="23"/>
        <v/>
      </c>
      <c r="J118" s="8">
        <f t="shared" si="24"/>
        <v>1</v>
      </c>
      <c r="L118">
        <v>136</v>
      </c>
      <c r="M118">
        <v>52</v>
      </c>
      <c r="N118">
        <v>3</v>
      </c>
      <c r="O118" s="8" t="str">
        <f t="shared" si="25"/>
        <v/>
      </c>
      <c r="P118" s="8" t="str">
        <f t="shared" si="26"/>
        <v/>
      </c>
      <c r="Q118" s="8" t="str">
        <f>VLOOKUP(L118,Gender!$C$3:$D$454,2,FALSE)</f>
        <v>M</v>
      </c>
      <c r="R118" s="8" t="str">
        <f t="shared" si="27"/>
        <v/>
      </c>
      <c r="S118" s="8" t="str">
        <f t="shared" si="28"/>
        <v/>
      </c>
      <c r="U118">
        <v>212</v>
      </c>
      <c r="V118">
        <v>6</v>
      </c>
      <c r="W118">
        <v>3</v>
      </c>
      <c r="X118" s="8">
        <f t="shared" si="29"/>
        <v>20.354786371011357</v>
      </c>
      <c r="Y118" s="8">
        <f t="shared" si="30"/>
        <v>6</v>
      </c>
      <c r="Z118" s="8" t="str">
        <f>VLOOKUP(U118,Gender!$C$3:$D$454,2,FALSE)</f>
        <v>F</v>
      </c>
      <c r="AA118" s="8" t="str">
        <f t="shared" si="31"/>
        <v/>
      </c>
      <c r="AB118" s="8">
        <f t="shared" si="32"/>
        <v>3</v>
      </c>
    </row>
    <row r="119" spans="3:28" x14ac:dyDescent="0.25">
      <c r="C119">
        <v>106</v>
      </c>
      <c r="D119">
        <v>3</v>
      </c>
      <c r="E119">
        <v>1</v>
      </c>
      <c r="F119" s="8">
        <f t="shared" si="22"/>
        <v>2.2850189291508922</v>
      </c>
      <c r="H119" s="8" t="str">
        <f>VLOOKUP(C119,Gender!$C$3:$D$454,2,FALSE)</f>
        <v>M</v>
      </c>
      <c r="I119" s="8">
        <f t="shared" si="23"/>
        <v>1</v>
      </c>
      <c r="J119" s="8" t="str">
        <f t="shared" si="24"/>
        <v/>
      </c>
      <c r="L119">
        <v>137</v>
      </c>
      <c r="M119">
        <v>67</v>
      </c>
      <c r="N119">
        <v>4</v>
      </c>
      <c r="O119" s="8" t="str">
        <f t="shared" si="25"/>
        <v/>
      </c>
      <c r="P119" s="8" t="str">
        <f t="shared" si="26"/>
        <v/>
      </c>
      <c r="Q119" s="8" t="str">
        <f>VLOOKUP(L119,Gender!$C$3:$D$454,2,FALSE)</f>
        <v>F</v>
      </c>
      <c r="R119" s="8" t="str">
        <f t="shared" si="27"/>
        <v/>
      </c>
      <c r="S119" s="8" t="str">
        <f t="shared" si="28"/>
        <v/>
      </c>
      <c r="U119">
        <v>213</v>
      </c>
      <c r="V119">
        <v>10</v>
      </c>
      <c r="W119">
        <v>5</v>
      </c>
      <c r="X119" s="8" t="str">
        <f t="shared" si="29"/>
        <v/>
      </c>
      <c r="Y119" s="8" t="str">
        <f t="shared" si="30"/>
        <v/>
      </c>
      <c r="Z119" s="8" t="str">
        <f>VLOOKUP(U119,Gender!$C$3:$D$454,2,FALSE)</f>
        <v>M</v>
      </c>
      <c r="AA119" s="8" t="str">
        <f t="shared" si="31"/>
        <v/>
      </c>
      <c r="AB119" s="8" t="str">
        <f t="shared" si="32"/>
        <v/>
      </c>
    </row>
    <row r="120" spans="3:28" x14ac:dyDescent="0.25">
      <c r="C120">
        <v>107</v>
      </c>
      <c r="D120">
        <v>1</v>
      </c>
      <c r="E120">
        <v>1</v>
      </c>
      <c r="F120" s="8">
        <f t="shared" si="22"/>
        <v>0.23850730124391561</v>
      </c>
      <c r="H120" s="8" t="str">
        <f>VLOOKUP(C120,Gender!$C$3:$D$454,2,FALSE)</f>
        <v>M</v>
      </c>
      <c r="I120" s="8">
        <f t="shared" si="23"/>
        <v>1</v>
      </c>
      <c r="J120" s="8" t="str">
        <f t="shared" si="24"/>
        <v/>
      </c>
      <c r="L120">
        <v>138</v>
      </c>
      <c r="M120">
        <v>27</v>
      </c>
      <c r="N120">
        <v>5</v>
      </c>
      <c r="O120" s="8" t="str">
        <f t="shared" si="25"/>
        <v/>
      </c>
      <c r="P120" s="8" t="str">
        <f t="shared" si="26"/>
        <v/>
      </c>
      <c r="Q120" s="8" t="str">
        <f>VLOOKUP(L120,Gender!$C$3:$D$454,2,FALSE)</f>
        <v>M</v>
      </c>
      <c r="R120" s="8" t="str">
        <f t="shared" si="27"/>
        <v/>
      </c>
      <c r="S120" s="8" t="str">
        <f t="shared" si="28"/>
        <v/>
      </c>
      <c r="U120">
        <v>215</v>
      </c>
      <c r="V120">
        <v>72</v>
      </c>
      <c r="W120">
        <v>3</v>
      </c>
      <c r="X120" s="8">
        <f t="shared" si="29"/>
        <v>4971.8896700919413</v>
      </c>
      <c r="Y120" s="8">
        <f t="shared" si="30"/>
        <v>72</v>
      </c>
      <c r="Z120" s="8" t="str">
        <f>VLOOKUP(U120,Gender!$C$3:$D$454,2,FALSE)</f>
        <v>M</v>
      </c>
      <c r="AA120" s="8">
        <f t="shared" si="31"/>
        <v>3</v>
      </c>
      <c r="AB120" s="8" t="str">
        <f t="shared" si="32"/>
        <v/>
      </c>
    </row>
    <row r="121" spans="3:28" x14ac:dyDescent="0.25">
      <c r="C121">
        <v>108</v>
      </c>
      <c r="D121">
        <v>1</v>
      </c>
      <c r="E121">
        <v>1</v>
      </c>
      <c r="F121" s="8">
        <f t="shared" si="22"/>
        <v>0.23850730124391561</v>
      </c>
      <c r="H121" s="8" t="str">
        <f>VLOOKUP(C121,Gender!$C$3:$D$454,2,FALSE)</f>
        <v>M</v>
      </c>
      <c r="I121" s="8">
        <f t="shared" si="23"/>
        <v>1</v>
      </c>
      <c r="J121" s="8" t="str">
        <f t="shared" si="24"/>
        <v/>
      </c>
      <c r="L121">
        <v>140</v>
      </c>
      <c r="M121">
        <v>52</v>
      </c>
      <c r="N121">
        <v>2</v>
      </c>
      <c r="O121" s="8">
        <f t="shared" si="25"/>
        <v>2551.4245538128716</v>
      </c>
      <c r="P121" s="8">
        <f t="shared" si="26"/>
        <v>52</v>
      </c>
      <c r="Q121" s="8" t="str">
        <f>VLOOKUP(L121,Gender!$C$3:$D$454,2,FALSE)</f>
        <v>M</v>
      </c>
      <c r="R121" s="8">
        <f t="shared" si="27"/>
        <v>2</v>
      </c>
      <c r="S121" s="8" t="str">
        <f t="shared" si="28"/>
        <v/>
      </c>
      <c r="U121">
        <v>217</v>
      </c>
      <c r="V121">
        <v>47</v>
      </c>
      <c r="W121">
        <v>3</v>
      </c>
      <c r="X121" s="8">
        <f t="shared" si="29"/>
        <v>2071.308274743104</v>
      </c>
      <c r="Y121" s="8">
        <f t="shared" si="30"/>
        <v>47</v>
      </c>
      <c r="Z121" s="8" t="str">
        <f>VLOOKUP(U121,Gender!$C$3:$D$454,2,FALSE)</f>
        <v>M</v>
      </c>
      <c r="AA121" s="8">
        <f t="shared" si="31"/>
        <v>3</v>
      </c>
      <c r="AB121" s="8" t="str">
        <f t="shared" si="32"/>
        <v/>
      </c>
    </row>
    <row r="122" spans="3:28" x14ac:dyDescent="0.25">
      <c r="C122">
        <v>109</v>
      </c>
      <c r="D122">
        <v>2</v>
      </c>
      <c r="E122">
        <v>1</v>
      </c>
      <c r="F122" s="8">
        <f t="shared" si="22"/>
        <v>0.26176311519740403</v>
      </c>
      <c r="H122" s="8" t="str">
        <f>VLOOKUP(C122,Gender!$C$3:$D$454,2,FALSE)</f>
        <v>M</v>
      </c>
      <c r="I122" s="8">
        <f t="shared" si="23"/>
        <v>1</v>
      </c>
      <c r="J122" s="8" t="str">
        <f t="shared" si="24"/>
        <v/>
      </c>
      <c r="L122">
        <v>143</v>
      </c>
      <c r="M122">
        <v>1</v>
      </c>
      <c r="N122">
        <v>3</v>
      </c>
      <c r="O122" s="8" t="str">
        <f t="shared" si="25"/>
        <v/>
      </c>
      <c r="P122" s="8" t="str">
        <f t="shared" si="26"/>
        <v/>
      </c>
      <c r="Q122" s="8" t="str">
        <f>VLOOKUP(L122,Gender!$C$3:$D$454,2,FALSE)</f>
        <v>F</v>
      </c>
      <c r="R122" s="8" t="str">
        <f t="shared" si="27"/>
        <v/>
      </c>
      <c r="S122" s="8" t="str">
        <f t="shared" si="28"/>
        <v/>
      </c>
      <c r="U122">
        <v>219</v>
      </c>
      <c r="V122">
        <v>28</v>
      </c>
      <c r="W122">
        <v>3</v>
      </c>
      <c r="X122" s="8">
        <f t="shared" si="29"/>
        <v>702.86641427798816</v>
      </c>
      <c r="Y122" s="8">
        <f t="shared" si="30"/>
        <v>28</v>
      </c>
      <c r="Z122" s="8" t="str">
        <f>VLOOKUP(U122,Gender!$C$3:$D$454,2,FALSE)</f>
        <v>M</v>
      </c>
      <c r="AA122" s="8">
        <f t="shared" si="31"/>
        <v>3</v>
      </c>
      <c r="AB122" s="8" t="str">
        <f t="shared" si="32"/>
        <v/>
      </c>
    </row>
    <row r="123" spans="3:28" x14ac:dyDescent="0.25">
      <c r="C123">
        <v>110</v>
      </c>
      <c r="D123">
        <v>1</v>
      </c>
      <c r="E123">
        <v>1</v>
      </c>
      <c r="F123" s="8">
        <f t="shared" si="22"/>
        <v>0.23850730124391561</v>
      </c>
      <c r="H123" s="8" t="str">
        <f>VLOOKUP(C123,Gender!$C$3:$D$454,2,FALSE)</f>
        <v>M</v>
      </c>
      <c r="I123" s="8">
        <f t="shared" si="23"/>
        <v>1</v>
      </c>
      <c r="J123" s="8" t="str">
        <f t="shared" si="24"/>
        <v/>
      </c>
      <c r="L123">
        <v>144</v>
      </c>
      <c r="M123">
        <v>40</v>
      </c>
      <c r="N123">
        <v>2</v>
      </c>
      <c r="O123" s="8">
        <f t="shared" si="25"/>
        <v>1483.1454840454298</v>
      </c>
      <c r="P123" s="8">
        <f t="shared" si="26"/>
        <v>40</v>
      </c>
      <c r="Q123" s="8" t="str">
        <f>VLOOKUP(L123,Gender!$C$3:$D$454,2,FALSE)</f>
        <v>M</v>
      </c>
      <c r="R123" s="8">
        <f t="shared" si="27"/>
        <v>2</v>
      </c>
      <c r="S123" s="8" t="str">
        <f t="shared" si="28"/>
        <v/>
      </c>
      <c r="U123">
        <v>221</v>
      </c>
      <c r="V123">
        <v>14</v>
      </c>
      <c r="W123">
        <v>4</v>
      </c>
      <c r="X123" s="8" t="str">
        <f t="shared" si="29"/>
        <v/>
      </c>
      <c r="Y123" s="8" t="str">
        <f t="shared" si="30"/>
        <v/>
      </c>
      <c r="Z123" s="8" t="str">
        <f>VLOOKUP(U123,Gender!$C$3:$D$454,2,FALSE)</f>
        <v>M</v>
      </c>
      <c r="AA123" s="8" t="str">
        <f t="shared" si="31"/>
        <v/>
      </c>
      <c r="AB123" s="8" t="str">
        <f t="shared" si="32"/>
        <v/>
      </c>
    </row>
    <row r="124" spans="3:28" x14ac:dyDescent="0.25">
      <c r="C124">
        <v>111</v>
      </c>
      <c r="D124">
        <v>1</v>
      </c>
      <c r="E124">
        <v>2</v>
      </c>
      <c r="F124" s="8" t="str">
        <f t="shared" si="22"/>
        <v/>
      </c>
      <c r="H124" s="8" t="str">
        <f>VLOOKUP(C124,Gender!$C$3:$D$454,2,FALSE)</f>
        <v>M</v>
      </c>
      <c r="I124" s="8" t="str">
        <f t="shared" si="23"/>
        <v/>
      </c>
      <c r="J124" s="8" t="str">
        <f t="shared" si="24"/>
        <v/>
      </c>
      <c r="L124">
        <v>146</v>
      </c>
      <c r="M124">
        <v>48</v>
      </c>
      <c r="N124">
        <v>2</v>
      </c>
      <c r="O124" s="8">
        <f t="shared" si="25"/>
        <v>2163.3315305570577</v>
      </c>
      <c r="P124" s="8">
        <f t="shared" si="26"/>
        <v>48</v>
      </c>
      <c r="Q124" s="8" t="str">
        <f>VLOOKUP(L124,Gender!$C$3:$D$454,2,FALSE)</f>
        <v>M</v>
      </c>
      <c r="R124" s="8">
        <f t="shared" si="27"/>
        <v>2</v>
      </c>
      <c r="S124" s="8" t="str">
        <f t="shared" si="28"/>
        <v/>
      </c>
      <c r="U124">
        <v>223</v>
      </c>
      <c r="V124">
        <v>25</v>
      </c>
      <c r="W124">
        <v>3</v>
      </c>
      <c r="X124" s="8">
        <f t="shared" si="29"/>
        <v>552.79664683612771</v>
      </c>
      <c r="Y124" s="8">
        <f t="shared" si="30"/>
        <v>25</v>
      </c>
      <c r="Z124" s="8" t="str">
        <f>VLOOKUP(U124,Gender!$C$3:$D$454,2,FALSE)</f>
        <v>M</v>
      </c>
      <c r="AA124" s="8">
        <f t="shared" si="31"/>
        <v>3</v>
      </c>
      <c r="AB124" s="8" t="str">
        <f t="shared" si="32"/>
        <v/>
      </c>
    </row>
    <row r="125" spans="3:28" x14ac:dyDescent="0.25">
      <c r="C125">
        <v>112</v>
      </c>
      <c r="D125">
        <v>1</v>
      </c>
      <c r="E125">
        <v>1</v>
      </c>
      <c r="F125" s="8">
        <f t="shared" si="22"/>
        <v>0.23850730124391561</v>
      </c>
      <c r="H125" s="8" t="str">
        <f>VLOOKUP(C125,Gender!$C$3:$D$454,2,FALSE)</f>
        <v>M</v>
      </c>
      <c r="I125" s="8">
        <f t="shared" si="23"/>
        <v>1</v>
      </c>
      <c r="J125" s="8" t="str">
        <f t="shared" si="24"/>
        <v/>
      </c>
      <c r="L125">
        <v>147</v>
      </c>
      <c r="M125">
        <v>45</v>
      </c>
      <c r="N125">
        <v>3</v>
      </c>
      <c r="O125" s="8" t="str">
        <f t="shared" si="25"/>
        <v/>
      </c>
      <c r="P125" s="8" t="str">
        <f t="shared" si="26"/>
        <v/>
      </c>
      <c r="Q125" s="8" t="str">
        <f>VLOOKUP(L125,Gender!$C$3:$D$454,2,FALSE)</f>
        <v>F</v>
      </c>
      <c r="R125" s="8" t="str">
        <f t="shared" si="27"/>
        <v/>
      </c>
      <c r="S125" s="8" t="str">
        <f t="shared" si="28"/>
        <v/>
      </c>
      <c r="U125">
        <v>224</v>
      </c>
      <c r="V125">
        <v>1</v>
      </c>
      <c r="W125">
        <v>3</v>
      </c>
      <c r="X125" s="8">
        <f t="shared" si="29"/>
        <v>0.23850730124391561</v>
      </c>
      <c r="Y125" s="8">
        <f t="shared" si="30"/>
        <v>1</v>
      </c>
      <c r="Z125" s="8" t="str">
        <f>VLOOKUP(U125,Gender!$C$3:$D$454,2,FALSE)</f>
        <v>F</v>
      </c>
      <c r="AA125" s="8" t="str">
        <f t="shared" si="31"/>
        <v/>
      </c>
      <c r="AB125" s="8">
        <f t="shared" si="32"/>
        <v>3</v>
      </c>
    </row>
    <row r="126" spans="3:28" x14ac:dyDescent="0.25">
      <c r="C126">
        <v>113</v>
      </c>
      <c r="D126">
        <v>2</v>
      </c>
      <c r="E126">
        <v>1</v>
      </c>
      <c r="F126" s="8">
        <f t="shared" si="22"/>
        <v>0.26176311519740403</v>
      </c>
      <c r="H126" s="8" t="str">
        <f>VLOOKUP(C126,Gender!$C$3:$D$454,2,FALSE)</f>
        <v>F</v>
      </c>
      <c r="I126" s="8" t="str">
        <f t="shared" si="23"/>
        <v/>
      </c>
      <c r="J126" s="8">
        <f t="shared" si="24"/>
        <v>1</v>
      </c>
      <c r="L126">
        <v>148</v>
      </c>
      <c r="M126">
        <v>80</v>
      </c>
      <c r="N126">
        <v>3</v>
      </c>
      <c r="O126" s="8" t="str">
        <f t="shared" si="25"/>
        <v/>
      </c>
      <c r="P126" s="8" t="str">
        <f t="shared" si="26"/>
        <v/>
      </c>
      <c r="Q126" s="8" t="str">
        <f>VLOOKUP(L126,Gender!$C$3:$D$454,2,FALSE)</f>
        <v>F</v>
      </c>
      <c r="R126" s="8" t="str">
        <f t="shared" si="27"/>
        <v/>
      </c>
      <c r="S126" s="8" t="str">
        <f t="shared" si="28"/>
        <v/>
      </c>
      <c r="U126">
        <v>226</v>
      </c>
      <c r="V126">
        <v>26</v>
      </c>
      <c r="W126">
        <v>3</v>
      </c>
      <c r="X126" s="8">
        <f t="shared" si="29"/>
        <v>600.81990265008119</v>
      </c>
      <c r="Y126" s="8">
        <f t="shared" si="30"/>
        <v>26</v>
      </c>
      <c r="Z126" s="8" t="str">
        <f>VLOOKUP(U126,Gender!$C$3:$D$454,2,FALSE)</f>
        <v>M</v>
      </c>
      <c r="AA126" s="8">
        <f t="shared" si="31"/>
        <v>3</v>
      </c>
      <c r="AB126" s="8" t="str">
        <f t="shared" si="32"/>
        <v/>
      </c>
    </row>
    <row r="127" spans="3:28" x14ac:dyDescent="0.25">
      <c r="C127">
        <v>114</v>
      </c>
      <c r="D127">
        <v>1</v>
      </c>
      <c r="E127">
        <v>1</v>
      </c>
      <c r="F127" s="8">
        <f t="shared" si="22"/>
        <v>0.23850730124391561</v>
      </c>
      <c r="H127" s="8" t="str">
        <f>VLOOKUP(C127,Gender!$C$3:$D$454,2,FALSE)</f>
        <v>M</v>
      </c>
      <c r="I127" s="8">
        <f t="shared" si="23"/>
        <v>1</v>
      </c>
      <c r="J127" s="8" t="str">
        <f t="shared" si="24"/>
        <v/>
      </c>
      <c r="L127">
        <v>149</v>
      </c>
      <c r="M127">
        <v>48</v>
      </c>
      <c r="N127">
        <v>2</v>
      </c>
      <c r="O127" s="8">
        <f t="shared" si="25"/>
        <v>2163.3315305570577</v>
      </c>
      <c r="P127" s="8">
        <f t="shared" si="26"/>
        <v>48</v>
      </c>
      <c r="Q127" s="8" t="str">
        <f>VLOOKUP(L127,Gender!$C$3:$D$454,2,FALSE)</f>
        <v>F</v>
      </c>
      <c r="R127" s="8" t="str">
        <f t="shared" si="27"/>
        <v/>
      </c>
      <c r="S127" s="8">
        <f t="shared" si="28"/>
        <v>2</v>
      </c>
      <c r="U127">
        <v>229</v>
      </c>
      <c r="V127">
        <v>10</v>
      </c>
      <c r="W127">
        <v>3</v>
      </c>
      <c r="X127" s="8">
        <f t="shared" si="29"/>
        <v>72.447809626825332</v>
      </c>
      <c r="Y127" s="8">
        <f t="shared" si="30"/>
        <v>10</v>
      </c>
      <c r="Z127" s="8" t="str">
        <f>VLOOKUP(U127,Gender!$C$3:$D$454,2,FALSE)</f>
        <v>M</v>
      </c>
      <c r="AA127" s="8">
        <f t="shared" si="31"/>
        <v>3</v>
      </c>
      <c r="AB127" s="8" t="str">
        <f t="shared" si="32"/>
        <v/>
      </c>
    </row>
    <row r="128" spans="3:28" x14ac:dyDescent="0.25">
      <c r="C128">
        <v>115</v>
      </c>
      <c r="D128">
        <v>1</v>
      </c>
      <c r="E128">
        <v>1</v>
      </c>
      <c r="F128" s="8">
        <f t="shared" si="22"/>
        <v>0.23850730124391561</v>
      </c>
      <c r="H128" s="8" t="str">
        <f>VLOOKUP(C128,Gender!$C$3:$D$454,2,FALSE)</f>
        <v>M</v>
      </c>
      <c r="I128" s="8">
        <f t="shared" si="23"/>
        <v>1</v>
      </c>
      <c r="J128" s="8" t="str">
        <f t="shared" si="24"/>
        <v/>
      </c>
      <c r="L128">
        <v>150</v>
      </c>
      <c r="M128">
        <v>102</v>
      </c>
      <c r="N128">
        <v>3</v>
      </c>
      <c r="O128" s="8" t="str">
        <f t="shared" si="25"/>
        <v/>
      </c>
      <c r="P128" s="8" t="str">
        <f t="shared" si="26"/>
        <v/>
      </c>
      <c r="Q128" s="8" t="str">
        <f>VLOOKUP(L128,Gender!$C$3:$D$454,2,FALSE)</f>
        <v>F</v>
      </c>
      <c r="R128" s="8" t="str">
        <f t="shared" si="27"/>
        <v/>
      </c>
      <c r="S128" s="8" t="str">
        <f t="shared" si="28"/>
        <v/>
      </c>
      <c r="U128">
        <v>230</v>
      </c>
      <c r="V128">
        <v>38</v>
      </c>
      <c r="W128">
        <v>5</v>
      </c>
      <c r="X128" s="8" t="str">
        <f t="shared" si="29"/>
        <v/>
      </c>
      <c r="Y128" s="8" t="str">
        <f t="shared" si="30"/>
        <v/>
      </c>
      <c r="Z128" s="8" t="str">
        <f>VLOOKUP(U128,Gender!$C$3:$D$454,2,FALSE)</f>
        <v>M</v>
      </c>
      <c r="AA128" s="8" t="str">
        <f t="shared" si="31"/>
        <v/>
      </c>
      <c r="AB128" s="8" t="str">
        <f t="shared" si="32"/>
        <v/>
      </c>
    </row>
    <row r="129" spans="3:28" x14ac:dyDescent="0.25">
      <c r="C129">
        <v>116</v>
      </c>
      <c r="D129">
        <v>2</v>
      </c>
      <c r="E129">
        <v>1</v>
      </c>
      <c r="F129" s="8">
        <f t="shared" si="22"/>
        <v>0.26176311519740403</v>
      </c>
      <c r="H129" s="8" t="str">
        <f>VLOOKUP(C129,Gender!$C$3:$D$454,2,FALSE)</f>
        <v>M</v>
      </c>
      <c r="I129" s="8">
        <f t="shared" si="23"/>
        <v>1</v>
      </c>
      <c r="J129" s="8" t="str">
        <f t="shared" si="24"/>
        <v/>
      </c>
      <c r="L129">
        <v>151</v>
      </c>
      <c r="M129">
        <v>25</v>
      </c>
      <c r="N129">
        <v>2</v>
      </c>
      <c r="O129" s="8">
        <f t="shared" si="25"/>
        <v>552.79664683612771</v>
      </c>
      <c r="P129" s="8">
        <f t="shared" si="26"/>
        <v>25</v>
      </c>
      <c r="Q129" s="8" t="str">
        <f>VLOOKUP(L129,Gender!$C$3:$D$454,2,FALSE)</f>
        <v>M</v>
      </c>
      <c r="R129" s="8">
        <f t="shared" si="27"/>
        <v>2</v>
      </c>
      <c r="S129" s="8" t="str">
        <f t="shared" si="28"/>
        <v/>
      </c>
      <c r="U129">
        <v>233</v>
      </c>
      <c r="V129">
        <v>47</v>
      </c>
      <c r="W129">
        <v>3</v>
      </c>
      <c r="X129" s="8">
        <f t="shared" si="29"/>
        <v>2071.308274743104</v>
      </c>
      <c r="Y129" s="8">
        <f t="shared" si="30"/>
        <v>47</v>
      </c>
      <c r="Z129" s="8" t="str">
        <f>VLOOKUP(U129,Gender!$C$3:$D$454,2,FALSE)</f>
        <v>F</v>
      </c>
      <c r="AA129" s="8" t="str">
        <f t="shared" si="31"/>
        <v/>
      </c>
      <c r="AB129" s="8">
        <f t="shared" si="32"/>
        <v>3</v>
      </c>
    </row>
    <row r="130" spans="3:28" x14ac:dyDescent="0.25">
      <c r="C130">
        <v>117</v>
      </c>
      <c r="D130">
        <v>1</v>
      </c>
      <c r="E130">
        <v>1</v>
      </c>
      <c r="F130" s="8">
        <f t="shared" si="22"/>
        <v>0.23850730124391561</v>
      </c>
      <c r="H130" s="8" t="str">
        <f>VLOOKUP(C130,Gender!$C$3:$D$454,2,FALSE)</f>
        <v>M</v>
      </c>
      <c r="I130" s="8">
        <f t="shared" si="23"/>
        <v>1</v>
      </c>
      <c r="J130" s="8" t="str">
        <f t="shared" si="24"/>
        <v/>
      </c>
      <c r="L130">
        <v>152</v>
      </c>
      <c r="M130">
        <v>24</v>
      </c>
      <c r="N130">
        <v>4</v>
      </c>
      <c r="O130" s="8" t="str">
        <f t="shared" si="25"/>
        <v/>
      </c>
      <c r="P130" s="8" t="str">
        <f t="shared" si="26"/>
        <v/>
      </c>
      <c r="Q130" s="8" t="str">
        <f>VLOOKUP(L130,Gender!$C$3:$D$454,2,FALSE)</f>
        <v>M</v>
      </c>
      <c r="R130" s="8" t="str">
        <f t="shared" si="27"/>
        <v/>
      </c>
      <c r="S130" s="8" t="str">
        <f t="shared" si="28"/>
        <v/>
      </c>
      <c r="U130">
        <v>235</v>
      </c>
      <c r="V130">
        <v>22</v>
      </c>
      <c r="W130">
        <v>3</v>
      </c>
      <c r="X130" s="8">
        <f t="shared" si="29"/>
        <v>420.7268793942672</v>
      </c>
      <c r="Y130" s="8">
        <f t="shared" si="30"/>
        <v>22</v>
      </c>
      <c r="Z130" s="8" t="str">
        <f>VLOOKUP(U130,Gender!$C$3:$D$454,2,FALSE)</f>
        <v>F</v>
      </c>
      <c r="AA130" s="8" t="str">
        <f t="shared" si="31"/>
        <v/>
      </c>
      <c r="AB130" s="8">
        <f t="shared" si="32"/>
        <v>3</v>
      </c>
    </row>
    <row r="131" spans="3:28" x14ac:dyDescent="0.25">
      <c r="C131">
        <v>118</v>
      </c>
      <c r="D131">
        <v>1</v>
      </c>
      <c r="E131">
        <v>1</v>
      </c>
      <c r="F131" s="8">
        <f t="shared" si="22"/>
        <v>0.23850730124391561</v>
      </c>
      <c r="H131" s="8" t="str">
        <f>VLOOKUP(C131,Gender!$C$3:$D$454,2,FALSE)</f>
        <v>F</v>
      </c>
      <c r="I131" s="8" t="str">
        <f t="shared" si="23"/>
        <v/>
      </c>
      <c r="J131" s="8">
        <f t="shared" si="24"/>
        <v>1</v>
      </c>
      <c r="L131">
        <v>154</v>
      </c>
      <c r="M131">
        <v>105</v>
      </c>
      <c r="N131">
        <v>2</v>
      </c>
      <c r="O131" s="8">
        <f t="shared" si="25"/>
        <v>10714.657111952407</v>
      </c>
      <c r="P131" s="8">
        <f t="shared" si="26"/>
        <v>105</v>
      </c>
      <c r="Q131" s="8" t="str">
        <f>VLOOKUP(L131,Gender!$C$3:$D$454,2,FALSE)</f>
        <v>F</v>
      </c>
      <c r="R131" s="8" t="str">
        <f t="shared" si="27"/>
        <v/>
      </c>
      <c r="S131" s="8">
        <f t="shared" si="28"/>
        <v>2</v>
      </c>
      <c r="U131">
        <v>236</v>
      </c>
      <c r="V131">
        <v>51</v>
      </c>
      <c r="W131">
        <v>5</v>
      </c>
      <c r="X131" s="8" t="str">
        <f t="shared" si="29"/>
        <v/>
      </c>
      <c r="Y131" s="8" t="str">
        <f t="shared" si="30"/>
        <v/>
      </c>
      <c r="Z131" s="8" t="str">
        <f>VLOOKUP(U131,Gender!$C$3:$D$454,2,FALSE)</f>
        <v>M</v>
      </c>
      <c r="AA131" s="8" t="str">
        <f t="shared" si="31"/>
        <v/>
      </c>
      <c r="AB131" s="8" t="str">
        <f t="shared" si="32"/>
        <v/>
      </c>
    </row>
    <row r="132" spans="3:28" x14ac:dyDescent="0.25">
      <c r="C132">
        <v>119</v>
      </c>
      <c r="D132">
        <v>1</v>
      </c>
      <c r="E132">
        <v>2</v>
      </c>
      <c r="F132" s="8" t="str">
        <f t="shared" si="22"/>
        <v/>
      </c>
      <c r="H132" s="8" t="str">
        <f>VLOOKUP(C132,Gender!$C$3:$D$454,2,FALSE)</f>
        <v>M</v>
      </c>
      <c r="I132" s="8" t="str">
        <f t="shared" si="23"/>
        <v/>
      </c>
      <c r="J132" s="8" t="str">
        <f t="shared" si="24"/>
        <v/>
      </c>
      <c r="L132">
        <v>155</v>
      </c>
      <c r="M132">
        <v>18</v>
      </c>
      <c r="N132">
        <v>2</v>
      </c>
      <c r="O132" s="8">
        <f t="shared" si="25"/>
        <v>272.63385613845327</v>
      </c>
      <c r="P132" s="8">
        <f t="shared" si="26"/>
        <v>18</v>
      </c>
      <c r="Q132" s="8" t="str">
        <f>VLOOKUP(L132,Gender!$C$3:$D$454,2,FALSE)</f>
        <v>M</v>
      </c>
      <c r="R132" s="8">
        <f t="shared" si="27"/>
        <v>2</v>
      </c>
      <c r="S132" s="8" t="str">
        <f t="shared" si="28"/>
        <v/>
      </c>
      <c r="U132">
        <v>238</v>
      </c>
      <c r="V132">
        <v>26</v>
      </c>
      <c r="W132">
        <v>5</v>
      </c>
      <c r="X132" s="8" t="str">
        <f t="shared" si="29"/>
        <v/>
      </c>
      <c r="Y132" s="8" t="str">
        <f t="shared" si="30"/>
        <v/>
      </c>
      <c r="Z132" s="8" t="str">
        <f>VLOOKUP(U132,Gender!$C$3:$D$454,2,FALSE)</f>
        <v>F</v>
      </c>
      <c r="AA132" s="8" t="str">
        <f t="shared" si="31"/>
        <v/>
      </c>
      <c r="AB132" s="8" t="str">
        <f t="shared" si="32"/>
        <v/>
      </c>
    </row>
    <row r="133" spans="3:28" x14ac:dyDescent="0.25">
      <c r="C133">
        <v>120</v>
      </c>
      <c r="D133">
        <v>1</v>
      </c>
      <c r="E133">
        <v>1</v>
      </c>
      <c r="F133" s="8">
        <f t="shared" si="22"/>
        <v>0.23850730124391561</v>
      </c>
      <c r="H133" s="8" t="str">
        <f>VLOOKUP(C133,Gender!$C$3:$D$454,2,FALSE)</f>
        <v>M</v>
      </c>
      <c r="I133" s="8">
        <f t="shared" si="23"/>
        <v>1</v>
      </c>
      <c r="J133" s="8" t="str">
        <f t="shared" si="24"/>
        <v/>
      </c>
      <c r="L133">
        <v>156</v>
      </c>
      <c r="M133">
        <v>64</v>
      </c>
      <c r="N133">
        <v>3</v>
      </c>
      <c r="O133" s="8" t="str">
        <f t="shared" si="25"/>
        <v/>
      </c>
      <c r="P133" s="8" t="str">
        <f t="shared" si="26"/>
        <v/>
      </c>
      <c r="Q133" s="8" t="str">
        <f>VLOOKUP(L133,Gender!$C$3:$D$454,2,FALSE)</f>
        <v>M</v>
      </c>
      <c r="R133" s="8" t="str">
        <f t="shared" si="27"/>
        <v/>
      </c>
      <c r="S133" s="8" t="str">
        <f t="shared" si="28"/>
        <v/>
      </c>
      <c r="U133">
        <v>240</v>
      </c>
      <c r="V133">
        <v>27</v>
      </c>
      <c r="W133">
        <v>5</v>
      </c>
      <c r="X133" s="8" t="str">
        <f t="shared" si="29"/>
        <v/>
      </c>
      <c r="Y133" s="8" t="str">
        <f t="shared" si="30"/>
        <v/>
      </c>
      <c r="Z133" s="8" t="str">
        <f>VLOOKUP(U133,Gender!$C$3:$D$454,2,FALSE)</f>
        <v>F</v>
      </c>
      <c r="AA133" s="8" t="str">
        <f t="shared" si="31"/>
        <v/>
      </c>
      <c r="AB133" s="8" t="str">
        <f t="shared" si="32"/>
        <v/>
      </c>
    </row>
    <row r="134" spans="3:28" x14ac:dyDescent="0.25">
      <c r="C134">
        <v>121</v>
      </c>
      <c r="D134">
        <v>1</v>
      </c>
      <c r="E134">
        <v>1</v>
      </c>
      <c r="F134" s="8">
        <f t="shared" si="22"/>
        <v>0.23850730124391561</v>
      </c>
      <c r="H134" s="8" t="str">
        <f>VLOOKUP(C134,Gender!$C$3:$D$454,2,FALSE)</f>
        <v>M</v>
      </c>
      <c r="I134" s="8">
        <f t="shared" si="23"/>
        <v>1</v>
      </c>
      <c r="J134" s="8" t="str">
        <f t="shared" si="24"/>
        <v/>
      </c>
      <c r="L134">
        <v>157</v>
      </c>
      <c r="M134">
        <v>69</v>
      </c>
      <c r="N134">
        <v>5</v>
      </c>
      <c r="O134" s="8" t="str">
        <f t="shared" si="25"/>
        <v/>
      </c>
      <c r="P134" s="8" t="str">
        <f t="shared" si="26"/>
        <v/>
      </c>
      <c r="Q134" s="8" t="str">
        <f>VLOOKUP(L134,Gender!$C$3:$D$454,2,FALSE)</f>
        <v>M</v>
      </c>
      <c r="R134" s="8" t="str">
        <f t="shared" si="27"/>
        <v/>
      </c>
      <c r="S134" s="8" t="str">
        <f t="shared" si="28"/>
        <v/>
      </c>
      <c r="U134">
        <v>242</v>
      </c>
      <c r="V134">
        <v>77</v>
      </c>
      <c r="W134">
        <v>5</v>
      </c>
      <c r="X134" s="8" t="str">
        <f t="shared" si="29"/>
        <v/>
      </c>
      <c r="Y134" s="8" t="str">
        <f t="shared" si="30"/>
        <v/>
      </c>
      <c r="Z134" s="8" t="str">
        <f>VLOOKUP(U134,Gender!$C$3:$D$454,2,FALSE)</f>
        <v>M</v>
      </c>
      <c r="AA134" s="8" t="str">
        <f t="shared" si="31"/>
        <v/>
      </c>
      <c r="AB134" s="8" t="str">
        <f t="shared" si="32"/>
        <v/>
      </c>
    </row>
    <row r="135" spans="3:28" x14ac:dyDescent="0.25">
      <c r="C135">
        <v>122</v>
      </c>
      <c r="D135">
        <v>3</v>
      </c>
      <c r="E135">
        <v>1</v>
      </c>
      <c r="F135" s="8">
        <f t="shared" si="22"/>
        <v>2.2850189291508922</v>
      </c>
      <c r="H135" s="8" t="str">
        <f>VLOOKUP(C135,Gender!$C$3:$D$454,2,FALSE)</f>
        <v>M</v>
      </c>
      <c r="I135" s="8">
        <f t="shared" si="23"/>
        <v>1</v>
      </c>
      <c r="J135" s="8" t="str">
        <f t="shared" si="24"/>
        <v/>
      </c>
      <c r="L135">
        <v>158</v>
      </c>
      <c r="M135">
        <v>49</v>
      </c>
      <c r="N135">
        <v>2</v>
      </c>
      <c r="O135" s="8">
        <f t="shared" si="25"/>
        <v>2257.354786371011</v>
      </c>
      <c r="P135" s="8">
        <f t="shared" si="26"/>
        <v>49</v>
      </c>
      <c r="Q135" s="8" t="str">
        <f>VLOOKUP(L135,Gender!$C$3:$D$454,2,FALSE)</f>
        <v>F</v>
      </c>
      <c r="R135" s="8" t="str">
        <f t="shared" si="27"/>
        <v/>
      </c>
      <c r="S135" s="8">
        <f t="shared" si="28"/>
        <v>2</v>
      </c>
      <c r="U135">
        <v>243</v>
      </c>
      <c r="V135">
        <v>11</v>
      </c>
      <c r="W135">
        <v>4</v>
      </c>
      <c r="X135" s="8" t="str">
        <f t="shared" si="29"/>
        <v/>
      </c>
      <c r="Y135" s="8" t="str">
        <f t="shared" si="30"/>
        <v/>
      </c>
      <c r="Z135" s="8" t="str">
        <f>VLOOKUP(U135,Gender!$C$3:$D$454,2,FALSE)</f>
        <v>M</v>
      </c>
      <c r="AA135" s="8" t="str">
        <f t="shared" si="31"/>
        <v/>
      </c>
      <c r="AB135" s="8" t="str">
        <f t="shared" si="32"/>
        <v/>
      </c>
    </row>
    <row r="136" spans="3:28" x14ac:dyDescent="0.25">
      <c r="C136">
        <v>123</v>
      </c>
      <c r="D136">
        <v>1</v>
      </c>
      <c r="E136">
        <v>1</v>
      </c>
      <c r="F136" s="8">
        <f t="shared" si="22"/>
        <v>0.23850730124391561</v>
      </c>
      <c r="H136" s="8" t="str">
        <f>VLOOKUP(C136,Gender!$C$3:$D$454,2,FALSE)</f>
        <v>M</v>
      </c>
      <c r="I136" s="8">
        <f t="shared" si="23"/>
        <v>1</v>
      </c>
      <c r="J136" s="8" t="str">
        <f t="shared" si="24"/>
        <v/>
      </c>
      <c r="L136">
        <v>159</v>
      </c>
      <c r="M136">
        <v>68</v>
      </c>
      <c r="N136">
        <v>5</v>
      </c>
      <c r="O136" s="8" t="str">
        <f t="shared" si="25"/>
        <v/>
      </c>
      <c r="P136" s="8" t="str">
        <f t="shared" si="26"/>
        <v/>
      </c>
      <c r="Q136" s="8" t="str">
        <f>VLOOKUP(L136,Gender!$C$3:$D$454,2,FALSE)</f>
        <v>M</v>
      </c>
      <c r="R136" s="8" t="str">
        <f t="shared" si="27"/>
        <v/>
      </c>
      <c r="S136" s="8" t="str">
        <f t="shared" si="28"/>
        <v/>
      </c>
      <c r="U136">
        <v>246</v>
      </c>
      <c r="V136">
        <v>1</v>
      </c>
      <c r="W136">
        <v>3</v>
      </c>
      <c r="X136" s="8">
        <f t="shared" si="29"/>
        <v>0.23850730124391561</v>
      </c>
      <c r="Y136" s="8">
        <f t="shared" si="30"/>
        <v>1</v>
      </c>
      <c r="Z136" s="8" t="str">
        <f>VLOOKUP(U136,Gender!$C$3:$D$454,2,FALSE)</f>
        <v>M</v>
      </c>
      <c r="AA136" s="8">
        <f t="shared" si="31"/>
        <v>3</v>
      </c>
      <c r="AB136" s="8" t="str">
        <f t="shared" si="32"/>
        <v/>
      </c>
    </row>
    <row r="137" spans="3:28" x14ac:dyDescent="0.25">
      <c r="C137">
        <v>124</v>
      </c>
      <c r="D137">
        <v>1</v>
      </c>
      <c r="E137">
        <v>1</v>
      </c>
      <c r="F137" s="8">
        <f t="shared" si="22"/>
        <v>0.23850730124391561</v>
      </c>
      <c r="H137" s="8" t="str">
        <f>VLOOKUP(C137,Gender!$C$3:$D$454,2,FALSE)</f>
        <v>M</v>
      </c>
      <c r="I137" s="8">
        <f t="shared" si="23"/>
        <v>1</v>
      </c>
      <c r="J137" s="8" t="str">
        <f t="shared" si="24"/>
        <v/>
      </c>
      <c r="L137">
        <v>160</v>
      </c>
      <c r="M137">
        <v>47</v>
      </c>
      <c r="N137">
        <v>3</v>
      </c>
      <c r="O137" s="8" t="str">
        <f t="shared" si="25"/>
        <v/>
      </c>
      <c r="P137" s="8" t="str">
        <f t="shared" si="26"/>
        <v/>
      </c>
      <c r="Q137" s="8" t="str">
        <f>VLOOKUP(L137,Gender!$C$3:$D$454,2,FALSE)</f>
        <v>M</v>
      </c>
      <c r="R137" s="8" t="str">
        <f t="shared" si="27"/>
        <v/>
      </c>
      <c r="S137" s="8" t="str">
        <f t="shared" si="28"/>
        <v/>
      </c>
      <c r="U137">
        <v>250</v>
      </c>
      <c r="V137">
        <v>29</v>
      </c>
      <c r="W137">
        <v>3</v>
      </c>
      <c r="X137" s="8">
        <f t="shared" si="29"/>
        <v>756.88967009194164</v>
      </c>
      <c r="Y137" s="8">
        <f t="shared" si="30"/>
        <v>29</v>
      </c>
      <c r="Z137" s="8" t="str">
        <f>VLOOKUP(U137,Gender!$C$3:$D$454,2,FALSE)</f>
        <v>M</v>
      </c>
      <c r="AA137" s="8">
        <f t="shared" si="31"/>
        <v>3</v>
      </c>
      <c r="AB137" s="8" t="str">
        <f t="shared" si="32"/>
        <v/>
      </c>
    </row>
    <row r="138" spans="3:28" x14ac:dyDescent="0.25">
      <c r="C138">
        <v>125</v>
      </c>
      <c r="D138">
        <v>3</v>
      </c>
      <c r="E138">
        <v>1</v>
      </c>
      <c r="F138" s="8">
        <f t="shared" si="22"/>
        <v>2.2850189291508922</v>
      </c>
      <c r="H138" s="8" t="str">
        <f>VLOOKUP(C138,Gender!$C$3:$D$454,2,FALSE)</f>
        <v>M</v>
      </c>
      <c r="I138" s="8">
        <f t="shared" si="23"/>
        <v>1</v>
      </c>
      <c r="J138" s="8" t="str">
        <f t="shared" si="24"/>
        <v/>
      </c>
      <c r="L138">
        <v>161</v>
      </c>
      <c r="M138">
        <v>20</v>
      </c>
      <c r="N138">
        <v>2</v>
      </c>
      <c r="O138" s="8">
        <f t="shared" si="25"/>
        <v>342.68036776636023</v>
      </c>
      <c r="P138" s="8">
        <f t="shared" si="26"/>
        <v>20</v>
      </c>
      <c r="Q138" s="8" t="str">
        <f>VLOOKUP(L138,Gender!$C$3:$D$454,2,FALSE)</f>
        <v>M</v>
      </c>
      <c r="R138" s="8">
        <f t="shared" si="27"/>
        <v>2</v>
      </c>
      <c r="S138" s="8" t="str">
        <f t="shared" si="28"/>
        <v/>
      </c>
      <c r="U138">
        <v>253</v>
      </c>
      <c r="V138">
        <v>60</v>
      </c>
      <c r="W138">
        <v>4</v>
      </c>
      <c r="X138" s="8" t="str">
        <f t="shared" si="29"/>
        <v/>
      </c>
      <c r="Y138" s="8" t="str">
        <f t="shared" si="30"/>
        <v/>
      </c>
      <c r="Z138" s="8" t="str">
        <f>VLOOKUP(U138,Gender!$C$3:$D$454,2,FALSE)</f>
        <v>M</v>
      </c>
      <c r="AA138" s="8" t="str">
        <f t="shared" si="31"/>
        <v/>
      </c>
      <c r="AB138" s="8" t="str">
        <f t="shared" si="32"/>
        <v/>
      </c>
    </row>
    <row r="139" spans="3:28" x14ac:dyDescent="0.25">
      <c r="C139">
        <v>126</v>
      </c>
      <c r="D139">
        <v>2</v>
      </c>
      <c r="E139">
        <v>1</v>
      </c>
      <c r="F139" s="8">
        <f t="shared" si="22"/>
        <v>0.26176311519740403</v>
      </c>
      <c r="H139" s="8" t="str">
        <f>VLOOKUP(C139,Gender!$C$3:$D$454,2,FALSE)</f>
        <v>F</v>
      </c>
      <c r="I139" s="8" t="str">
        <f t="shared" si="23"/>
        <v/>
      </c>
      <c r="J139" s="8">
        <f t="shared" si="24"/>
        <v>1</v>
      </c>
      <c r="L139">
        <v>163</v>
      </c>
      <c r="M139">
        <v>1</v>
      </c>
      <c r="N139">
        <v>3</v>
      </c>
      <c r="O139" s="8" t="str">
        <f t="shared" si="25"/>
        <v/>
      </c>
      <c r="P139" s="8" t="str">
        <f t="shared" si="26"/>
        <v/>
      </c>
      <c r="Q139" s="8" t="str">
        <f>VLOOKUP(L139,Gender!$C$3:$D$454,2,FALSE)</f>
        <v>M</v>
      </c>
      <c r="R139" s="8" t="str">
        <f t="shared" si="27"/>
        <v/>
      </c>
      <c r="S139" s="8" t="str">
        <f t="shared" si="28"/>
        <v/>
      </c>
      <c r="U139">
        <v>255</v>
      </c>
      <c r="V139">
        <v>13</v>
      </c>
      <c r="W139">
        <v>4</v>
      </c>
      <c r="X139" s="8" t="str">
        <f t="shared" si="29"/>
        <v/>
      </c>
      <c r="Y139" s="8" t="str">
        <f t="shared" si="30"/>
        <v/>
      </c>
      <c r="Z139" s="8" t="str">
        <f>VLOOKUP(U139,Gender!$C$3:$D$454,2,FALSE)</f>
        <v>M</v>
      </c>
      <c r="AA139" s="8" t="str">
        <f t="shared" si="31"/>
        <v/>
      </c>
      <c r="AB139" s="8" t="str">
        <f t="shared" si="32"/>
        <v/>
      </c>
    </row>
    <row r="140" spans="3:28" x14ac:dyDescent="0.25">
      <c r="C140">
        <v>127</v>
      </c>
      <c r="D140">
        <v>1</v>
      </c>
      <c r="E140">
        <v>1</v>
      </c>
      <c r="F140" s="8">
        <f t="shared" si="22"/>
        <v>0.23850730124391561</v>
      </c>
      <c r="H140" s="8" t="str">
        <f>VLOOKUP(C140,Gender!$C$3:$D$454,2,FALSE)</f>
        <v>M</v>
      </c>
      <c r="I140" s="8">
        <f t="shared" si="23"/>
        <v>1</v>
      </c>
      <c r="J140" s="8" t="str">
        <f t="shared" si="24"/>
        <v/>
      </c>
      <c r="L140">
        <v>164</v>
      </c>
      <c r="M140">
        <v>78</v>
      </c>
      <c r="N140">
        <v>3</v>
      </c>
      <c r="O140" s="8" t="str">
        <f t="shared" si="25"/>
        <v/>
      </c>
      <c r="P140" s="8" t="str">
        <f t="shared" si="26"/>
        <v/>
      </c>
      <c r="Q140" s="8" t="str">
        <f>VLOOKUP(L140,Gender!$C$3:$D$454,2,FALSE)</f>
        <v>F</v>
      </c>
      <c r="R140" s="8" t="str">
        <f t="shared" si="27"/>
        <v/>
      </c>
      <c r="S140" s="8" t="str">
        <f t="shared" si="28"/>
        <v/>
      </c>
      <c r="U140">
        <v>259</v>
      </c>
      <c r="V140">
        <v>48</v>
      </c>
      <c r="W140">
        <v>5</v>
      </c>
      <c r="X140" s="8" t="str">
        <f t="shared" si="29"/>
        <v/>
      </c>
      <c r="Y140" s="8" t="str">
        <f t="shared" si="30"/>
        <v/>
      </c>
      <c r="Z140" s="8" t="str">
        <f>VLOOKUP(U140,Gender!$C$3:$D$454,2,FALSE)</f>
        <v>M</v>
      </c>
      <c r="AA140" s="8" t="str">
        <f t="shared" si="31"/>
        <v/>
      </c>
      <c r="AB140" s="8" t="str">
        <f t="shared" si="32"/>
        <v/>
      </c>
    </row>
    <row r="141" spans="3:28" x14ac:dyDescent="0.25">
      <c r="C141">
        <v>128</v>
      </c>
      <c r="D141">
        <v>1</v>
      </c>
      <c r="E141">
        <v>2</v>
      </c>
      <c r="F141" s="8" t="str">
        <f t="shared" si="22"/>
        <v/>
      </c>
      <c r="H141" s="8" t="str">
        <f>VLOOKUP(C141,Gender!$C$3:$D$454,2,FALSE)</f>
        <v>M</v>
      </c>
      <c r="I141" s="8" t="str">
        <f t="shared" si="23"/>
        <v/>
      </c>
      <c r="J141" s="8" t="str">
        <f t="shared" si="24"/>
        <v/>
      </c>
      <c r="L141">
        <v>165</v>
      </c>
      <c r="M141">
        <v>20</v>
      </c>
      <c r="N141">
        <v>2</v>
      </c>
      <c r="O141" s="8">
        <f t="shared" si="25"/>
        <v>342.68036776636023</v>
      </c>
      <c r="P141" s="8">
        <f t="shared" si="26"/>
        <v>20</v>
      </c>
      <c r="Q141" s="8" t="str">
        <f>VLOOKUP(L141,Gender!$C$3:$D$454,2,FALSE)</f>
        <v>M</v>
      </c>
      <c r="R141" s="8">
        <f t="shared" si="27"/>
        <v>2</v>
      </c>
      <c r="S141" s="8" t="str">
        <f t="shared" si="28"/>
        <v/>
      </c>
      <c r="U141">
        <v>261</v>
      </c>
      <c r="V141">
        <v>27</v>
      </c>
      <c r="W141">
        <v>3</v>
      </c>
      <c r="X141" s="8">
        <f t="shared" si="29"/>
        <v>650.84315846403467</v>
      </c>
      <c r="Y141" s="8">
        <f t="shared" si="30"/>
        <v>27</v>
      </c>
      <c r="Z141" s="8" t="str">
        <f>VLOOKUP(U141,Gender!$C$3:$D$454,2,FALSE)</f>
        <v>F</v>
      </c>
      <c r="AA141" s="8" t="str">
        <f t="shared" si="31"/>
        <v/>
      </c>
      <c r="AB141" s="8">
        <f t="shared" si="32"/>
        <v>3</v>
      </c>
    </row>
    <row r="142" spans="3:28" x14ac:dyDescent="0.25">
      <c r="C142">
        <v>129</v>
      </c>
      <c r="D142">
        <v>1</v>
      </c>
      <c r="E142">
        <v>1</v>
      </c>
      <c r="F142" s="8">
        <f t="shared" ref="F142:F205" si="33">IF(E142=1,(D142-$D$2)*(D142-$D$2),"")</f>
        <v>0.23850730124391561</v>
      </c>
      <c r="H142" s="8" t="str">
        <f>VLOOKUP(C142,Gender!$C$3:$D$454,2,FALSE)</f>
        <v>M</v>
      </c>
      <c r="I142" s="8">
        <f t="shared" ref="I142:I205" si="34">IF(AND(E142=1,H142="M"),1,"")</f>
        <v>1</v>
      </c>
      <c r="J142" s="8" t="str">
        <f t="shared" ref="J142:J205" si="35">IF(AND(E142=1,H142="F"),1,"")</f>
        <v/>
      </c>
      <c r="L142">
        <v>166</v>
      </c>
      <c r="M142">
        <v>1</v>
      </c>
      <c r="N142">
        <v>2</v>
      </c>
      <c r="O142" s="8">
        <f t="shared" ref="O142:O205" si="36">IF(N142=2,(M142-$D$2)*(M142-$D$2),"")</f>
        <v>0.23850730124391561</v>
      </c>
      <c r="P142" s="8">
        <f t="shared" ref="P142:P205" si="37">IF(N142=2,M142,"")</f>
        <v>1</v>
      </c>
      <c r="Q142" s="8" t="str">
        <f>VLOOKUP(L142,Gender!$C$3:$D$454,2,FALSE)</f>
        <v>M</v>
      </c>
      <c r="R142" s="8">
        <f t="shared" ref="R142:R205" si="38">IF(AND(N142=2,Q142="M"),2,"")</f>
        <v>2</v>
      </c>
      <c r="S142" s="8" t="str">
        <f t="shared" ref="S142:S205" si="39">IF(AND(N142=2,Q142="F"),2,"")</f>
        <v/>
      </c>
      <c r="U142">
        <v>268</v>
      </c>
      <c r="V142">
        <v>11</v>
      </c>
      <c r="W142">
        <v>3</v>
      </c>
      <c r="X142" s="8">
        <f t="shared" ref="X142:X160" si="40">IF(W142=3,(V142-$D$2)*(V142-$D$2),"")</f>
        <v>90.471065440778816</v>
      </c>
      <c r="Y142" s="8">
        <f t="shared" ref="Y142:Y160" si="41">IF(W142=3,V142,"")</f>
        <v>11</v>
      </c>
      <c r="Z142" s="8" t="str">
        <f>VLOOKUP(U142,Gender!$C$3:$D$454,2,FALSE)</f>
        <v>F</v>
      </c>
      <c r="AA142" s="8" t="str">
        <f t="shared" ref="AA142:AA160" si="42">IF(AND(W142=3,Z142="M"),3,"")</f>
        <v/>
      </c>
      <c r="AB142" s="8">
        <f t="shared" ref="AB142:AB160" si="43">IF(AND(W142=3,Z142="F"),3,"")</f>
        <v>3</v>
      </c>
    </row>
    <row r="143" spans="3:28" x14ac:dyDescent="0.25">
      <c r="C143">
        <v>130</v>
      </c>
      <c r="D143">
        <v>3</v>
      </c>
      <c r="E143">
        <v>1</v>
      </c>
      <c r="F143" s="8">
        <f t="shared" si="33"/>
        <v>2.2850189291508922</v>
      </c>
      <c r="H143" s="8" t="str">
        <f>VLOOKUP(C143,Gender!$C$3:$D$454,2,FALSE)</f>
        <v>M</v>
      </c>
      <c r="I143" s="8">
        <f t="shared" si="34"/>
        <v>1</v>
      </c>
      <c r="J143" s="8" t="str">
        <f t="shared" si="35"/>
        <v/>
      </c>
      <c r="L143">
        <v>167</v>
      </c>
      <c r="M143">
        <v>35</v>
      </c>
      <c r="N143">
        <v>5</v>
      </c>
      <c r="O143" s="8" t="str">
        <f t="shared" si="36"/>
        <v/>
      </c>
      <c r="P143" s="8" t="str">
        <f t="shared" si="37"/>
        <v/>
      </c>
      <c r="Q143" s="8" t="str">
        <f>VLOOKUP(L143,Gender!$C$3:$D$454,2,FALSE)</f>
        <v>M</v>
      </c>
      <c r="R143" s="8" t="str">
        <f t="shared" si="38"/>
        <v/>
      </c>
      <c r="S143" s="8" t="str">
        <f t="shared" si="39"/>
        <v/>
      </c>
      <c r="U143">
        <v>270</v>
      </c>
      <c r="V143">
        <v>12</v>
      </c>
      <c r="W143">
        <v>5</v>
      </c>
      <c r="X143" s="8" t="str">
        <f t="shared" si="40"/>
        <v/>
      </c>
      <c r="Y143" s="8" t="str">
        <f t="shared" si="41"/>
        <v/>
      </c>
      <c r="Z143" s="8" t="str">
        <f>VLOOKUP(U143,Gender!$C$3:$D$454,2,FALSE)</f>
        <v>M</v>
      </c>
      <c r="AA143" s="8" t="str">
        <f t="shared" si="42"/>
        <v/>
      </c>
      <c r="AB143" s="8" t="str">
        <f t="shared" si="43"/>
        <v/>
      </c>
    </row>
    <row r="144" spans="3:28" x14ac:dyDescent="0.25">
      <c r="C144">
        <v>131</v>
      </c>
      <c r="D144">
        <v>6</v>
      </c>
      <c r="E144">
        <v>1</v>
      </c>
      <c r="F144" s="8">
        <f t="shared" si="33"/>
        <v>20.354786371011357</v>
      </c>
      <c r="H144" s="8" t="str">
        <f>VLOOKUP(C144,Gender!$C$3:$D$454,2,FALSE)</f>
        <v>M</v>
      </c>
      <c r="I144" s="8">
        <f t="shared" si="34"/>
        <v>1</v>
      </c>
      <c r="J144" s="8" t="str">
        <f t="shared" si="35"/>
        <v/>
      </c>
      <c r="L144">
        <v>168</v>
      </c>
      <c r="M144">
        <v>17</v>
      </c>
      <c r="N144">
        <v>3</v>
      </c>
      <c r="O144" s="8" t="str">
        <f t="shared" si="36"/>
        <v/>
      </c>
      <c r="P144" s="8" t="str">
        <f t="shared" si="37"/>
        <v/>
      </c>
      <c r="Q144" s="8" t="str">
        <f>VLOOKUP(L144,Gender!$C$3:$D$454,2,FALSE)</f>
        <v>F</v>
      </c>
      <c r="R144" s="8" t="str">
        <f t="shared" si="38"/>
        <v/>
      </c>
      <c r="S144" s="8" t="str">
        <f t="shared" si="39"/>
        <v/>
      </c>
      <c r="U144">
        <v>271</v>
      </c>
      <c r="V144">
        <v>36</v>
      </c>
      <c r="W144">
        <v>5</v>
      </c>
      <c r="X144" s="8" t="str">
        <f t="shared" si="40"/>
        <v/>
      </c>
      <c r="Y144" s="8" t="str">
        <f t="shared" si="41"/>
        <v/>
      </c>
      <c r="Z144" s="8" t="str">
        <f>VLOOKUP(U144,Gender!$C$3:$D$454,2,FALSE)</f>
        <v>M</v>
      </c>
      <c r="AA144" s="8" t="str">
        <f t="shared" si="42"/>
        <v/>
      </c>
      <c r="AB144" s="8" t="str">
        <f t="shared" si="43"/>
        <v/>
      </c>
    </row>
    <row r="145" spans="3:28" x14ac:dyDescent="0.25">
      <c r="C145">
        <v>132</v>
      </c>
      <c r="D145">
        <v>1</v>
      </c>
      <c r="E145">
        <v>2</v>
      </c>
      <c r="F145" s="8" t="str">
        <f t="shared" si="33"/>
        <v/>
      </c>
      <c r="H145" s="8" t="str">
        <f>VLOOKUP(C145,Gender!$C$3:$D$454,2,FALSE)</f>
        <v>M</v>
      </c>
      <c r="I145" s="8" t="str">
        <f t="shared" si="34"/>
        <v/>
      </c>
      <c r="J145" s="8" t="str">
        <f t="shared" si="35"/>
        <v/>
      </c>
      <c r="L145">
        <v>169</v>
      </c>
      <c r="M145">
        <v>12</v>
      </c>
      <c r="N145">
        <v>3</v>
      </c>
      <c r="O145" s="8" t="str">
        <f t="shared" si="36"/>
        <v/>
      </c>
      <c r="P145" s="8" t="str">
        <f t="shared" si="37"/>
        <v/>
      </c>
      <c r="Q145" s="8" t="str">
        <f>VLOOKUP(L145,Gender!$C$3:$D$454,2,FALSE)</f>
        <v>F</v>
      </c>
      <c r="R145" s="8" t="str">
        <f t="shared" si="38"/>
        <v/>
      </c>
      <c r="S145" s="8" t="str">
        <f t="shared" si="39"/>
        <v/>
      </c>
      <c r="U145">
        <v>272</v>
      </c>
      <c r="V145">
        <v>84</v>
      </c>
      <c r="W145">
        <v>3</v>
      </c>
      <c r="X145" s="8">
        <f t="shared" si="40"/>
        <v>6808.1687398593831</v>
      </c>
      <c r="Y145" s="8">
        <f t="shared" si="41"/>
        <v>84</v>
      </c>
      <c r="Z145" s="8" t="str">
        <f>VLOOKUP(U145,Gender!$C$3:$D$454,2,FALSE)</f>
        <v>F</v>
      </c>
      <c r="AA145" s="8" t="str">
        <f t="shared" si="42"/>
        <v/>
      </c>
      <c r="AB145" s="8">
        <f t="shared" si="43"/>
        <v>3</v>
      </c>
    </row>
    <row r="146" spans="3:28" x14ac:dyDescent="0.25">
      <c r="C146">
        <v>133</v>
      </c>
      <c r="D146">
        <v>1</v>
      </c>
      <c r="E146">
        <v>1</v>
      </c>
      <c r="F146" s="8">
        <f t="shared" si="33"/>
        <v>0.23850730124391561</v>
      </c>
      <c r="H146" s="8" t="str">
        <f>VLOOKUP(C146,Gender!$C$3:$D$454,2,FALSE)</f>
        <v>M</v>
      </c>
      <c r="I146" s="8">
        <f t="shared" si="34"/>
        <v>1</v>
      </c>
      <c r="J146" s="8" t="str">
        <f t="shared" si="35"/>
        <v/>
      </c>
      <c r="L146">
        <v>170</v>
      </c>
      <c r="M146">
        <v>55</v>
      </c>
      <c r="N146">
        <v>3</v>
      </c>
      <c r="O146" s="8" t="str">
        <f t="shared" si="36"/>
        <v/>
      </c>
      <c r="P146" s="8" t="str">
        <f t="shared" si="37"/>
        <v/>
      </c>
      <c r="Q146" s="8" t="str">
        <f>VLOOKUP(L146,Gender!$C$3:$D$454,2,FALSE)</f>
        <v>F</v>
      </c>
      <c r="R146" s="8" t="str">
        <f t="shared" si="38"/>
        <v/>
      </c>
      <c r="S146" s="8" t="str">
        <f t="shared" si="39"/>
        <v/>
      </c>
      <c r="U146">
        <v>273</v>
      </c>
      <c r="V146">
        <v>21</v>
      </c>
      <c r="W146">
        <v>5</v>
      </c>
      <c r="X146" s="8" t="str">
        <f t="shared" si="40"/>
        <v/>
      </c>
      <c r="Y146" s="8" t="str">
        <f t="shared" si="41"/>
        <v/>
      </c>
      <c r="Z146" s="8" t="str">
        <f>VLOOKUP(U146,Gender!$C$3:$D$454,2,FALSE)</f>
        <v>M</v>
      </c>
      <c r="AA146" s="8" t="str">
        <f t="shared" si="42"/>
        <v/>
      </c>
      <c r="AB146" s="8" t="str">
        <f t="shared" si="43"/>
        <v/>
      </c>
    </row>
    <row r="147" spans="3:28" x14ac:dyDescent="0.25">
      <c r="C147">
        <v>134</v>
      </c>
      <c r="D147">
        <v>1</v>
      </c>
      <c r="E147">
        <v>1</v>
      </c>
      <c r="F147" s="8">
        <f t="shared" si="33"/>
        <v>0.23850730124391561</v>
      </c>
      <c r="H147" s="8" t="str">
        <f>VLOOKUP(C147,Gender!$C$3:$D$454,2,FALSE)</f>
        <v>F</v>
      </c>
      <c r="I147" s="8" t="str">
        <f t="shared" si="34"/>
        <v/>
      </c>
      <c r="J147" s="8">
        <f t="shared" si="35"/>
        <v>1</v>
      </c>
      <c r="L147">
        <v>171</v>
      </c>
      <c r="M147">
        <v>109</v>
      </c>
      <c r="N147">
        <v>2</v>
      </c>
      <c r="O147" s="8">
        <f t="shared" si="36"/>
        <v>11558.75013520822</v>
      </c>
      <c r="P147" s="8">
        <f t="shared" si="37"/>
        <v>109</v>
      </c>
      <c r="Q147" s="8" t="str">
        <f>VLOOKUP(L147,Gender!$C$3:$D$454,2,FALSE)</f>
        <v>M</v>
      </c>
      <c r="R147" s="8">
        <f t="shared" si="38"/>
        <v>2</v>
      </c>
      <c r="S147" s="8" t="str">
        <f t="shared" si="39"/>
        <v/>
      </c>
      <c r="U147">
        <v>274</v>
      </c>
      <c r="V147">
        <v>25</v>
      </c>
      <c r="W147">
        <v>3</v>
      </c>
      <c r="X147" s="8">
        <f t="shared" si="40"/>
        <v>552.79664683612771</v>
      </c>
      <c r="Y147" s="8">
        <f t="shared" si="41"/>
        <v>25</v>
      </c>
      <c r="Z147" s="8" t="str">
        <f>VLOOKUP(U147,Gender!$C$3:$D$454,2,FALSE)</f>
        <v>M</v>
      </c>
      <c r="AA147" s="8">
        <f t="shared" si="42"/>
        <v>3</v>
      </c>
      <c r="AB147" s="8" t="str">
        <f t="shared" si="43"/>
        <v/>
      </c>
    </row>
    <row r="148" spans="3:28" x14ac:dyDescent="0.25">
      <c r="C148">
        <v>135</v>
      </c>
      <c r="D148">
        <v>2</v>
      </c>
      <c r="E148">
        <v>1</v>
      </c>
      <c r="F148" s="8">
        <f t="shared" si="33"/>
        <v>0.26176311519740403</v>
      </c>
      <c r="H148" s="8" t="str">
        <f>VLOOKUP(C148,Gender!$C$3:$D$454,2,FALSE)</f>
        <v>M</v>
      </c>
      <c r="I148" s="8">
        <f t="shared" si="34"/>
        <v>1</v>
      </c>
      <c r="J148" s="8" t="str">
        <f t="shared" si="35"/>
        <v/>
      </c>
      <c r="L148">
        <v>172</v>
      </c>
      <c r="M148">
        <v>121</v>
      </c>
      <c r="N148">
        <v>3</v>
      </c>
      <c r="O148" s="8" t="str">
        <f t="shared" si="36"/>
        <v/>
      </c>
      <c r="P148" s="8" t="str">
        <f t="shared" si="37"/>
        <v/>
      </c>
      <c r="Q148" s="8" t="str">
        <f>VLOOKUP(L148,Gender!$C$3:$D$454,2,FALSE)</f>
        <v>M</v>
      </c>
      <c r="R148" s="8" t="str">
        <f t="shared" si="38"/>
        <v/>
      </c>
      <c r="S148" s="8" t="str">
        <f t="shared" si="39"/>
        <v/>
      </c>
      <c r="U148">
        <v>275</v>
      </c>
      <c r="V148">
        <v>34</v>
      </c>
      <c r="W148">
        <v>3</v>
      </c>
      <c r="X148" s="8">
        <f t="shared" si="40"/>
        <v>1057.0059491617089</v>
      </c>
      <c r="Y148" s="8">
        <f t="shared" si="41"/>
        <v>34</v>
      </c>
      <c r="Z148" s="8" t="str">
        <f>VLOOKUP(U148,Gender!$C$3:$D$454,2,FALSE)</f>
        <v>F</v>
      </c>
      <c r="AA148" s="8" t="str">
        <f t="shared" si="42"/>
        <v/>
      </c>
      <c r="AB148" s="8">
        <f t="shared" si="43"/>
        <v>3</v>
      </c>
    </row>
    <row r="149" spans="3:28" x14ac:dyDescent="0.25">
      <c r="C149">
        <v>136</v>
      </c>
      <c r="D149">
        <v>1</v>
      </c>
      <c r="E149">
        <v>1</v>
      </c>
      <c r="F149" s="8">
        <f t="shared" si="33"/>
        <v>0.23850730124391561</v>
      </c>
      <c r="H149" s="8" t="str">
        <f>VLOOKUP(C149,Gender!$C$3:$D$454,2,FALSE)</f>
        <v>M</v>
      </c>
      <c r="I149" s="8">
        <f t="shared" si="34"/>
        <v>1</v>
      </c>
      <c r="J149" s="8" t="str">
        <f t="shared" si="35"/>
        <v/>
      </c>
      <c r="L149">
        <v>173</v>
      </c>
      <c r="M149">
        <v>30</v>
      </c>
      <c r="N149">
        <v>2</v>
      </c>
      <c r="O149" s="8">
        <f t="shared" si="36"/>
        <v>812.91292590589512</v>
      </c>
      <c r="P149" s="8">
        <f t="shared" si="37"/>
        <v>30</v>
      </c>
      <c r="Q149" s="8" t="str">
        <f>VLOOKUP(L149,Gender!$C$3:$D$454,2,FALSE)</f>
        <v>F</v>
      </c>
      <c r="R149" s="8" t="str">
        <f t="shared" si="38"/>
        <v/>
      </c>
      <c r="S149" s="8">
        <f t="shared" si="39"/>
        <v>2</v>
      </c>
      <c r="U149">
        <v>277</v>
      </c>
      <c r="V149">
        <v>5</v>
      </c>
      <c r="W149">
        <v>3</v>
      </c>
      <c r="X149" s="8">
        <f t="shared" si="40"/>
        <v>12.331530557057869</v>
      </c>
      <c r="Y149" s="8">
        <f t="shared" si="41"/>
        <v>5</v>
      </c>
      <c r="Z149" s="8" t="str">
        <f>VLOOKUP(U149,Gender!$C$3:$D$454,2,FALSE)</f>
        <v>M</v>
      </c>
      <c r="AA149" s="8">
        <f t="shared" si="42"/>
        <v>3</v>
      </c>
      <c r="AB149" s="8" t="str">
        <f t="shared" si="43"/>
        <v/>
      </c>
    </row>
    <row r="150" spans="3:28" x14ac:dyDescent="0.25">
      <c r="C150">
        <v>137</v>
      </c>
      <c r="D150">
        <v>1</v>
      </c>
      <c r="E150">
        <v>1</v>
      </c>
      <c r="F150" s="8">
        <f t="shared" si="33"/>
        <v>0.23850730124391561</v>
      </c>
      <c r="H150" s="8" t="str">
        <f>VLOOKUP(C150,Gender!$C$3:$D$454,2,FALSE)</f>
        <v>F</v>
      </c>
      <c r="I150" s="8" t="str">
        <f t="shared" si="34"/>
        <v/>
      </c>
      <c r="J150" s="8">
        <f t="shared" si="35"/>
        <v>1</v>
      </c>
      <c r="L150">
        <v>174</v>
      </c>
      <c r="M150">
        <v>33</v>
      </c>
      <c r="N150">
        <v>2</v>
      </c>
      <c r="O150" s="8">
        <f t="shared" si="36"/>
        <v>992.98269334775557</v>
      </c>
      <c r="P150" s="8">
        <f t="shared" si="37"/>
        <v>33</v>
      </c>
      <c r="Q150" s="8" t="str">
        <f>VLOOKUP(L150,Gender!$C$3:$D$454,2,FALSE)</f>
        <v>F</v>
      </c>
      <c r="R150" s="8" t="str">
        <f t="shared" si="38"/>
        <v/>
      </c>
      <c r="S150" s="8">
        <f t="shared" si="39"/>
        <v>2</v>
      </c>
      <c r="U150">
        <v>278</v>
      </c>
      <c r="V150">
        <v>1</v>
      </c>
      <c r="W150">
        <v>4</v>
      </c>
      <c r="X150" s="8" t="str">
        <f t="shared" si="40"/>
        <v/>
      </c>
      <c r="Y150" s="8" t="str">
        <f t="shared" si="41"/>
        <v/>
      </c>
      <c r="Z150" s="8" t="str">
        <f>VLOOKUP(U150,Gender!$C$3:$D$454,2,FALSE)</f>
        <v>M</v>
      </c>
      <c r="AA150" s="8" t="str">
        <f t="shared" si="42"/>
        <v/>
      </c>
      <c r="AB150" s="8" t="str">
        <f t="shared" si="43"/>
        <v/>
      </c>
    </row>
    <row r="151" spans="3:28" x14ac:dyDescent="0.25">
      <c r="C151">
        <v>138</v>
      </c>
      <c r="D151">
        <v>1</v>
      </c>
      <c r="E151">
        <v>1</v>
      </c>
      <c r="F151" s="8">
        <f t="shared" si="33"/>
        <v>0.23850730124391561</v>
      </c>
      <c r="H151" s="8" t="str">
        <f>VLOOKUP(C151,Gender!$C$3:$D$454,2,FALSE)</f>
        <v>M</v>
      </c>
      <c r="I151" s="8">
        <f t="shared" si="34"/>
        <v>1</v>
      </c>
      <c r="J151" s="8" t="str">
        <f t="shared" si="35"/>
        <v/>
      </c>
      <c r="L151">
        <v>176</v>
      </c>
      <c r="M151">
        <v>39</v>
      </c>
      <c r="N151">
        <v>2</v>
      </c>
      <c r="O151" s="8">
        <f t="shared" si="36"/>
        <v>1407.1222282314764</v>
      </c>
      <c r="P151" s="8">
        <f t="shared" si="37"/>
        <v>39</v>
      </c>
      <c r="Q151" s="8" t="str">
        <f>VLOOKUP(L151,Gender!$C$3:$D$454,2,FALSE)</f>
        <v>M</v>
      </c>
      <c r="R151" s="8">
        <f t="shared" si="38"/>
        <v>2</v>
      </c>
      <c r="S151" s="8" t="str">
        <f t="shared" si="39"/>
        <v/>
      </c>
      <c r="U151">
        <v>280</v>
      </c>
      <c r="V151">
        <v>14</v>
      </c>
      <c r="W151">
        <v>3</v>
      </c>
      <c r="X151" s="8">
        <f t="shared" si="40"/>
        <v>156.54083288263928</v>
      </c>
      <c r="Y151" s="8">
        <f t="shared" si="41"/>
        <v>14</v>
      </c>
      <c r="Z151" s="8" t="str">
        <f>VLOOKUP(U151,Gender!$C$3:$D$454,2,FALSE)</f>
        <v>M</v>
      </c>
      <c r="AA151" s="8">
        <f t="shared" si="42"/>
        <v>3</v>
      </c>
      <c r="AB151" s="8" t="str">
        <f t="shared" si="43"/>
        <v/>
      </c>
    </row>
    <row r="152" spans="3:28" x14ac:dyDescent="0.25">
      <c r="C152">
        <v>139</v>
      </c>
      <c r="D152">
        <v>1</v>
      </c>
      <c r="E152">
        <v>1</v>
      </c>
      <c r="F152" s="8">
        <f t="shared" si="33"/>
        <v>0.23850730124391561</v>
      </c>
      <c r="H152" s="8" t="str">
        <f>VLOOKUP(C152,Gender!$C$3:$D$454,2,FALSE)</f>
        <v>M</v>
      </c>
      <c r="I152" s="8">
        <f t="shared" si="34"/>
        <v>1</v>
      </c>
      <c r="J152" s="8" t="str">
        <f t="shared" si="35"/>
        <v/>
      </c>
      <c r="L152">
        <v>177</v>
      </c>
      <c r="M152">
        <v>118</v>
      </c>
      <c r="N152">
        <v>3</v>
      </c>
      <c r="O152" s="8" t="str">
        <f t="shared" si="36"/>
        <v/>
      </c>
      <c r="P152" s="8" t="str">
        <f t="shared" si="37"/>
        <v/>
      </c>
      <c r="Q152" s="8" t="str">
        <f>VLOOKUP(L152,Gender!$C$3:$D$454,2,FALSE)</f>
        <v>M</v>
      </c>
      <c r="R152" s="8" t="str">
        <f t="shared" si="38"/>
        <v/>
      </c>
      <c r="S152" s="8" t="str">
        <f t="shared" si="39"/>
        <v/>
      </c>
      <c r="U152">
        <v>282</v>
      </c>
      <c r="V152">
        <v>15</v>
      </c>
      <c r="W152">
        <v>3</v>
      </c>
      <c r="X152" s="8">
        <f t="shared" si="40"/>
        <v>182.56408869659279</v>
      </c>
      <c r="Y152" s="8">
        <f t="shared" si="41"/>
        <v>15</v>
      </c>
      <c r="Z152" s="8" t="str">
        <f>VLOOKUP(U152,Gender!$C$3:$D$454,2,FALSE)</f>
        <v>M</v>
      </c>
      <c r="AA152" s="8">
        <f t="shared" si="42"/>
        <v>3</v>
      </c>
      <c r="AB152" s="8" t="str">
        <f t="shared" si="43"/>
        <v/>
      </c>
    </row>
    <row r="153" spans="3:28" x14ac:dyDescent="0.25">
      <c r="C153">
        <v>140</v>
      </c>
      <c r="D153">
        <v>1</v>
      </c>
      <c r="E153">
        <v>1</v>
      </c>
      <c r="F153" s="8">
        <f t="shared" si="33"/>
        <v>0.23850730124391561</v>
      </c>
      <c r="H153" s="8" t="str">
        <f>VLOOKUP(C153,Gender!$C$3:$D$454,2,FALSE)</f>
        <v>M</v>
      </c>
      <c r="I153" s="8">
        <f t="shared" si="34"/>
        <v>1</v>
      </c>
      <c r="J153" s="8" t="str">
        <f t="shared" si="35"/>
        <v/>
      </c>
      <c r="L153">
        <v>178</v>
      </c>
      <c r="M153">
        <v>100</v>
      </c>
      <c r="N153">
        <v>2</v>
      </c>
      <c r="O153" s="8">
        <f t="shared" si="36"/>
        <v>9704.5408328826379</v>
      </c>
      <c r="P153" s="8">
        <f t="shared" si="37"/>
        <v>100</v>
      </c>
      <c r="Q153" s="8" t="str">
        <f>VLOOKUP(L153,Gender!$C$3:$D$454,2,FALSE)</f>
        <v>M</v>
      </c>
      <c r="R153" s="8">
        <f t="shared" si="38"/>
        <v>2</v>
      </c>
      <c r="S153" s="8" t="str">
        <f t="shared" si="39"/>
        <v/>
      </c>
      <c r="U153">
        <v>285</v>
      </c>
      <c r="V153">
        <v>105</v>
      </c>
      <c r="W153">
        <v>3</v>
      </c>
      <c r="X153" s="8">
        <f t="shared" si="40"/>
        <v>10714.657111952407</v>
      </c>
      <c r="Y153" s="8">
        <f t="shared" si="41"/>
        <v>105</v>
      </c>
      <c r="Z153" s="8" t="str">
        <f>VLOOKUP(U153,Gender!$C$3:$D$454,2,FALSE)</f>
        <v>M</v>
      </c>
      <c r="AA153" s="8">
        <f t="shared" si="42"/>
        <v>3</v>
      </c>
      <c r="AB153" s="8" t="str">
        <f t="shared" si="43"/>
        <v/>
      </c>
    </row>
    <row r="154" spans="3:28" x14ac:dyDescent="0.25">
      <c r="C154">
        <v>141</v>
      </c>
      <c r="D154">
        <v>1</v>
      </c>
      <c r="E154">
        <v>1</v>
      </c>
      <c r="F154" s="8">
        <f t="shared" si="33"/>
        <v>0.23850730124391561</v>
      </c>
      <c r="H154" s="8" t="str">
        <f>VLOOKUP(C154,Gender!$C$3:$D$454,2,FALSE)</f>
        <v>M</v>
      </c>
      <c r="I154" s="8">
        <f t="shared" si="34"/>
        <v>1</v>
      </c>
      <c r="J154" s="8" t="str">
        <f t="shared" si="35"/>
        <v/>
      </c>
      <c r="L154">
        <v>179</v>
      </c>
      <c r="M154">
        <v>24</v>
      </c>
      <c r="N154">
        <v>4</v>
      </c>
      <c r="O154" s="8" t="str">
        <f t="shared" si="36"/>
        <v/>
      </c>
      <c r="P154" s="8" t="str">
        <f t="shared" si="37"/>
        <v/>
      </c>
      <c r="Q154" s="8" t="str">
        <f>VLOOKUP(L154,Gender!$C$3:$D$454,2,FALSE)</f>
        <v>M</v>
      </c>
      <c r="R154" s="8" t="str">
        <f t="shared" si="38"/>
        <v/>
      </c>
      <c r="S154" s="8" t="str">
        <f t="shared" si="39"/>
        <v/>
      </c>
      <c r="U154">
        <v>287</v>
      </c>
      <c r="V154">
        <v>22</v>
      </c>
      <c r="W154">
        <v>3</v>
      </c>
      <c r="X154" s="8">
        <f t="shared" si="40"/>
        <v>420.7268793942672</v>
      </c>
      <c r="Y154" s="8">
        <f t="shared" si="41"/>
        <v>22</v>
      </c>
      <c r="Z154" s="8" t="str">
        <f>VLOOKUP(U154,Gender!$C$3:$D$454,2,FALSE)</f>
        <v>M</v>
      </c>
      <c r="AA154" s="8">
        <f t="shared" si="42"/>
        <v>3</v>
      </c>
      <c r="AB154" s="8" t="str">
        <f t="shared" si="43"/>
        <v/>
      </c>
    </row>
    <row r="155" spans="3:28" x14ac:dyDescent="0.25">
      <c r="C155">
        <v>142</v>
      </c>
      <c r="D155">
        <v>1</v>
      </c>
      <c r="E155">
        <v>1</v>
      </c>
      <c r="F155" s="8">
        <f t="shared" si="33"/>
        <v>0.23850730124391561</v>
      </c>
      <c r="H155" s="8" t="str">
        <f>VLOOKUP(C155,Gender!$C$3:$D$454,2,FALSE)</f>
        <v>M</v>
      </c>
      <c r="I155" s="8">
        <f t="shared" si="34"/>
        <v>1</v>
      </c>
      <c r="J155" s="8" t="str">
        <f t="shared" si="35"/>
        <v/>
      </c>
      <c r="L155">
        <v>181</v>
      </c>
      <c r="M155">
        <v>105</v>
      </c>
      <c r="N155">
        <v>5</v>
      </c>
      <c r="O155" s="8" t="str">
        <f t="shared" si="36"/>
        <v/>
      </c>
      <c r="P155" s="8" t="str">
        <f t="shared" si="37"/>
        <v/>
      </c>
      <c r="Q155" s="8" t="str">
        <f>VLOOKUP(L155,Gender!$C$3:$D$454,2,FALSE)</f>
        <v>M</v>
      </c>
      <c r="R155" s="8" t="str">
        <f t="shared" si="38"/>
        <v/>
      </c>
      <c r="S155" s="8" t="str">
        <f t="shared" si="39"/>
        <v/>
      </c>
      <c r="U155">
        <v>289</v>
      </c>
      <c r="V155">
        <v>38</v>
      </c>
      <c r="W155">
        <v>4</v>
      </c>
      <c r="X155" s="8" t="str">
        <f t="shared" si="40"/>
        <v/>
      </c>
      <c r="Y155" s="8" t="str">
        <f t="shared" si="41"/>
        <v/>
      </c>
      <c r="Z155" s="8" t="str">
        <f>VLOOKUP(U155,Gender!$C$3:$D$454,2,FALSE)</f>
        <v>M</v>
      </c>
      <c r="AA155" s="8" t="str">
        <f t="shared" si="42"/>
        <v/>
      </c>
      <c r="AB155" s="8" t="str">
        <f t="shared" si="43"/>
        <v/>
      </c>
    </row>
    <row r="156" spans="3:28" x14ac:dyDescent="0.25">
      <c r="C156">
        <v>143</v>
      </c>
      <c r="D156">
        <v>1</v>
      </c>
      <c r="E156">
        <v>3</v>
      </c>
      <c r="F156" s="8" t="str">
        <f t="shared" si="33"/>
        <v/>
      </c>
      <c r="H156" s="8" t="str">
        <f>VLOOKUP(C156,Gender!$C$3:$D$454,2,FALSE)</f>
        <v>F</v>
      </c>
      <c r="I156" s="8" t="str">
        <f t="shared" si="34"/>
        <v/>
      </c>
      <c r="J156" s="8" t="str">
        <f t="shared" si="35"/>
        <v/>
      </c>
      <c r="L156">
        <v>182</v>
      </c>
      <c r="M156">
        <v>33</v>
      </c>
      <c r="N156">
        <v>2</v>
      </c>
      <c r="O156" s="8">
        <f t="shared" si="36"/>
        <v>992.98269334775557</v>
      </c>
      <c r="P156" s="8">
        <f t="shared" si="37"/>
        <v>33</v>
      </c>
      <c r="Q156" s="8" t="str">
        <f>VLOOKUP(L156,Gender!$C$3:$D$454,2,FALSE)</f>
        <v>F</v>
      </c>
      <c r="R156" s="8" t="str">
        <f t="shared" si="38"/>
        <v/>
      </c>
      <c r="S156" s="8">
        <f t="shared" si="39"/>
        <v>2</v>
      </c>
      <c r="U156">
        <v>292</v>
      </c>
      <c r="V156">
        <v>54</v>
      </c>
      <c r="W156">
        <v>3</v>
      </c>
      <c r="X156" s="8">
        <f t="shared" si="40"/>
        <v>2757.4710654407786</v>
      </c>
      <c r="Y156" s="8">
        <f t="shared" si="41"/>
        <v>54</v>
      </c>
      <c r="Z156" s="8" t="str">
        <f>VLOOKUP(U156,Gender!$C$3:$D$454,2,FALSE)</f>
        <v>M</v>
      </c>
      <c r="AA156" s="8">
        <f t="shared" si="42"/>
        <v>3</v>
      </c>
      <c r="AB156" s="8" t="str">
        <f t="shared" si="43"/>
        <v/>
      </c>
    </row>
    <row r="157" spans="3:28" x14ac:dyDescent="0.25">
      <c r="C157">
        <v>144</v>
      </c>
      <c r="D157">
        <v>1</v>
      </c>
      <c r="E157">
        <v>1</v>
      </c>
      <c r="F157" s="8">
        <f t="shared" si="33"/>
        <v>0.23850730124391561</v>
      </c>
      <c r="H157" s="8" t="str">
        <f>VLOOKUP(C157,Gender!$C$3:$D$454,2,FALSE)</f>
        <v>M</v>
      </c>
      <c r="I157" s="8">
        <f t="shared" si="34"/>
        <v>1</v>
      </c>
      <c r="J157" s="8" t="str">
        <f t="shared" si="35"/>
        <v/>
      </c>
      <c r="L157">
        <v>183</v>
      </c>
      <c r="M157">
        <v>24</v>
      </c>
      <c r="N157">
        <v>2</v>
      </c>
      <c r="O157" s="8">
        <f t="shared" si="36"/>
        <v>506.77339102217417</v>
      </c>
      <c r="P157" s="8">
        <f t="shared" si="37"/>
        <v>24</v>
      </c>
      <c r="Q157" s="8" t="str">
        <f>VLOOKUP(L157,Gender!$C$3:$D$454,2,FALSE)</f>
        <v>F</v>
      </c>
      <c r="R157" s="8" t="str">
        <f t="shared" si="38"/>
        <v/>
      </c>
      <c r="S157" s="8">
        <f t="shared" si="39"/>
        <v>2</v>
      </c>
      <c r="U157">
        <v>293</v>
      </c>
      <c r="V157">
        <v>6</v>
      </c>
      <c r="W157">
        <v>3</v>
      </c>
      <c r="X157" s="8">
        <f t="shared" si="40"/>
        <v>20.354786371011357</v>
      </c>
      <c r="Y157" s="8">
        <f t="shared" si="41"/>
        <v>6</v>
      </c>
      <c r="Z157" s="8" t="str">
        <f>VLOOKUP(U157,Gender!$C$3:$D$454,2,FALSE)</f>
        <v>F</v>
      </c>
      <c r="AA157" s="8" t="str">
        <f t="shared" si="42"/>
        <v/>
      </c>
      <c r="AB157" s="8">
        <f t="shared" si="43"/>
        <v>3</v>
      </c>
    </row>
    <row r="158" spans="3:28" x14ac:dyDescent="0.25">
      <c r="C158">
        <v>145</v>
      </c>
      <c r="D158">
        <v>2</v>
      </c>
      <c r="E158">
        <v>1</v>
      </c>
      <c r="F158" s="8">
        <f t="shared" si="33"/>
        <v>0.26176311519740403</v>
      </c>
      <c r="H158" s="8" t="str">
        <f>VLOOKUP(C158,Gender!$C$3:$D$454,2,FALSE)</f>
        <v>M</v>
      </c>
      <c r="I158" s="8">
        <f t="shared" si="34"/>
        <v>1</v>
      </c>
      <c r="J158" s="8" t="str">
        <f t="shared" si="35"/>
        <v/>
      </c>
      <c r="L158">
        <v>184</v>
      </c>
      <c r="M158">
        <v>35</v>
      </c>
      <c r="N158">
        <v>2</v>
      </c>
      <c r="O158" s="8">
        <f t="shared" si="36"/>
        <v>1123.0292049756624</v>
      </c>
      <c r="P158" s="8">
        <f t="shared" si="37"/>
        <v>35</v>
      </c>
      <c r="Q158" s="8" t="str">
        <f>VLOOKUP(L158,Gender!$C$3:$D$454,2,FALSE)</f>
        <v>M</v>
      </c>
      <c r="R158" s="8">
        <f t="shared" si="38"/>
        <v>2</v>
      </c>
      <c r="S158" s="8" t="str">
        <f t="shared" si="39"/>
        <v/>
      </c>
      <c r="U158">
        <v>294</v>
      </c>
      <c r="V158">
        <v>12</v>
      </c>
      <c r="W158">
        <v>3</v>
      </c>
      <c r="X158" s="8">
        <f t="shared" si="40"/>
        <v>110.49432125473231</v>
      </c>
      <c r="Y158" s="8">
        <f t="shared" si="41"/>
        <v>12</v>
      </c>
      <c r="Z158" s="8" t="str">
        <f>VLOOKUP(U158,Gender!$C$3:$D$454,2,FALSE)</f>
        <v>M</v>
      </c>
      <c r="AA158" s="8">
        <f t="shared" si="42"/>
        <v>3</v>
      </c>
      <c r="AB158" s="8" t="str">
        <f t="shared" si="43"/>
        <v/>
      </c>
    </row>
    <row r="159" spans="3:28" x14ac:dyDescent="0.25">
      <c r="C159">
        <v>146</v>
      </c>
      <c r="D159">
        <v>1</v>
      </c>
      <c r="E159">
        <v>1</v>
      </c>
      <c r="F159" s="8">
        <f t="shared" si="33"/>
        <v>0.23850730124391561</v>
      </c>
      <c r="H159" s="8" t="str">
        <f>VLOOKUP(C159,Gender!$C$3:$D$454,2,FALSE)</f>
        <v>M</v>
      </c>
      <c r="I159" s="8">
        <f t="shared" si="34"/>
        <v>1</v>
      </c>
      <c r="J159" s="8" t="str">
        <f t="shared" si="35"/>
        <v/>
      </c>
      <c r="L159">
        <v>186</v>
      </c>
      <c r="M159">
        <v>28</v>
      </c>
      <c r="N159">
        <v>3</v>
      </c>
      <c r="O159" s="8" t="str">
        <f t="shared" si="36"/>
        <v/>
      </c>
      <c r="P159" s="8" t="str">
        <f t="shared" si="37"/>
        <v/>
      </c>
      <c r="Q159" s="8" t="str">
        <f>VLOOKUP(L159,Gender!$C$3:$D$454,2,FALSE)</f>
        <v>M</v>
      </c>
      <c r="R159" s="8" t="str">
        <f t="shared" si="38"/>
        <v/>
      </c>
      <c r="S159" s="8" t="str">
        <f t="shared" si="39"/>
        <v/>
      </c>
      <c r="U159">
        <v>298</v>
      </c>
      <c r="V159">
        <v>6</v>
      </c>
      <c r="W159">
        <v>3</v>
      </c>
      <c r="X159" s="8">
        <f t="shared" si="40"/>
        <v>20.354786371011357</v>
      </c>
      <c r="Y159" s="8">
        <f t="shared" si="41"/>
        <v>6</v>
      </c>
      <c r="Z159" s="8" t="str">
        <f>VLOOKUP(U159,Gender!$C$3:$D$454,2,FALSE)</f>
        <v>F</v>
      </c>
      <c r="AA159" s="8" t="str">
        <f t="shared" si="42"/>
        <v/>
      </c>
      <c r="AB159" s="8">
        <f t="shared" si="43"/>
        <v>3</v>
      </c>
    </row>
    <row r="160" spans="3:28" x14ac:dyDescent="0.25">
      <c r="C160">
        <v>147</v>
      </c>
      <c r="D160">
        <v>1</v>
      </c>
      <c r="E160">
        <v>1</v>
      </c>
      <c r="F160" s="8">
        <f t="shared" si="33"/>
        <v>0.23850730124391561</v>
      </c>
      <c r="H160" s="8" t="str">
        <f>VLOOKUP(C160,Gender!$C$3:$D$454,2,FALSE)</f>
        <v>F</v>
      </c>
      <c r="I160" s="8" t="str">
        <f t="shared" si="34"/>
        <v/>
      </c>
      <c r="J160" s="8">
        <f t="shared" si="35"/>
        <v>1</v>
      </c>
      <c r="L160">
        <v>187</v>
      </c>
      <c r="M160">
        <v>1</v>
      </c>
      <c r="N160">
        <v>2</v>
      </c>
      <c r="O160" s="8">
        <f t="shared" si="36"/>
        <v>0.23850730124391561</v>
      </c>
      <c r="P160" s="8">
        <f t="shared" si="37"/>
        <v>1</v>
      </c>
      <c r="Q160" s="8" t="str">
        <f>VLOOKUP(L160,Gender!$C$3:$D$454,2,FALSE)</f>
        <v>M</v>
      </c>
      <c r="R160" s="8">
        <f t="shared" si="38"/>
        <v>2</v>
      </c>
      <c r="S160" s="8" t="str">
        <f t="shared" si="39"/>
        <v/>
      </c>
      <c r="U160">
        <v>299</v>
      </c>
      <c r="V160">
        <v>22</v>
      </c>
      <c r="W160">
        <v>3</v>
      </c>
      <c r="X160" s="8">
        <f t="shared" si="40"/>
        <v>420.7268793942672</v>
      </c>
      <c r="Y160" s="8">
        <f t="shared" si="41"/>
        <v>22</v>
      </c>
      <c r="Z160" s="8" t="str">
        <f>VLOOKUP(U160,Gender!$C$3:$D$454,2,FALSE)</f>
        <v>M</v>
      </c>
      <c r="AA160" s="8">
        <f t="shared" si="42"/>
        <v>3</v>
      </c>
      <c r="AB160" s="8" t="str">
        <f t="shared" si="43"/>
        <v/>
      </c>
    </row>
    <row r="161" spans="3:19" x14ac:dyDescent="0.25">
      <c r="C161">
        <v>148</v>
      </c>
      <c r="D161">
        <v>3</v>
      </c>
      <c r="E161">
        <v>1</v>
      </c>
      <c r="F161" s="8">
        <f t="shared" si="33"/>
        <v>2.2850189291508922</v>
      </c>
      <c r="H161" s="8" t="str">
        <f>VLOOKUP(C161,Gender!$C$3:$D$454,2,FALSE)</f>
        <v>F</v>
      </c>
      <c r="I161" s="8" t="str">
        <f t="shared" si="34"/>
        <v/>
      </c>
      <c r="J161" s="8">
        <f t="shared" si="35"/>
        <v>1</v>
      </c>
      <c r="L161">
        <v>188</v>
      </c>
      <c r="M161">
        <v>1</v>
      </c>
      <c r="N161">
        <v>2</v>
      </c>
      <c r="O161" s="8">
        <f t="shared" si="36"/>
        <v>0.23850730124391561</v>
      </c>
      <c r="P161" s="8">
        <f t="shared" si="37"/>
        <v>1</v>
      </c>
      <c r="Q161" s="8" t="str">
        <f>VLOOKUP(L161,Gender!$C$3:$D$454,2,FALSE)</f>
        <v>M</v>
      </c>
      <c r="R161" s="8">
        <f t="shared" si="38"/>
        <v>2</v>
      </c>
      <c r="S161" s="8" t="str">
        <f t="shared" si="39"/>
        <v/>
      </c>
    </row>
    <row r="162" spans="3:19" x14ac:dyDescent="0.25">
      <c r="C162">
        <v>149</v>
      </c>
      <c r="D162">
        <v>3</v>
      </c>
      <c r="E162">
        <v>1</v>
      </c>
      <c r="F162" s="8">
        <f t="shared" si="33"/>
        <v>2.2850189291508922</v>
      </c>
      <c r="H162" s="8" t="str">
        <f>VLOOKUP(C162,Gender!$C$3:$D$454,2,FALSE)</f>
        <v>F</v>
      </c>
      <c r="I162" s="8" t="str">
        <f t="shared" si="34"/>
        <v/>
      </c>
      <c r="J162" s="8">
        <f t="shared" si="35"/>
        <v>1</v>
      </c>
      <c r="L162">
        <v>189</v>
      </c>
      <c r="M162">
        <v>99</v>
      </c>
      <c r="N162">
        <v>3</v>
      </c>
      <c r="O162" s="8" t="str">
        <f t="shared" si="36"/>
        <v/>
      </c>
      <c r="P162" s="8" t="str">
        <f t="shared" si="37"/>
        <v/>
      </c>
      <c r="Q162" s="8" t="str">
        <f>VLOOKUP(L162,Gender!$C$3:$D$454,2,FALSE)</f>
        <v>M</v>
      </c>
      <c r="R162" s="8" t="str">
        <f t="shared" si="38"/>
        <v/>
      </c>
      <c r="S162" s="8" t="str">
        <f t="shared" si="39"/>
        <v/>
      </c>
    </row>
    <row r="163" spans="3:19" x14ac:dyDescent="0.25">
      <c r="C163">
        <v>150</v>
      </c>
      <c r="D163">
        <v>1</v>
      </c>
      <c r="E163">
        <v>1</v>
      </c>
      <c r="F163" s="8">
        <f t="shared" si="33"/>
        <v>0.23850730124391561</v>
      </c>
      <c r="H163" s="8" t="str">
        <f>VLOOKUP(C163,Gender!$C$3:$D$454,2,FALSE)</f>
        <v>F</v>
      </c>
      <c r="I163" s="8" t="str">
        <f t="shared" si="34"/>
        <v/>
      </c>
      <c r="J163" s="8">
        <f t="shared" si="35"/>
        <v>1</v>
      </c>
      <c r="L163">
        <v>190</v>
      </c>
      <c r="M163">
        <v>133</v>
      </c>
      <c r="N163">
        <v>3</v>
      </c>
      <c r="O163" s="8" t="str">
        <f t="shared" si="36"/>
        <v/>
      </c>
      <c r="P163" s="8" t="str">
        <f t="shared" si="37"/>
        <v/>
      </c>
      <c r="Q163" s="8" t="str">
        <f>VLOOKUP(L163,Gender!$C$3:$D$454,2,FALSE)</f>
        <v>M</v>
      </c>
      <c r="R163" s="8" t="str">
        <f t="shared" si="38"/>
        <v/>
      </c>
      <c r="S163" s="8" t="str">
        <f t="shared" si="39"/>
        <v/>
      </c>
    </row>
    <row r="164" spans="3:19" x14ac:dyDescent="0.25">
      <c r="C164">
        <v>151</v>
      </c>
      <c r="D164">
        <v>1</v>
      </c>
      <c r="E164">
        <v>1</v>
      </c>
      <c r="F164" s="8">
        <f t="shared" si="33"/>
        <v>0.23850730124391561</v>
      </c>
      <c r="H164" s="8" t="str">
        <f>VLOOKUP(C164,Gender!$C$3:$D$454,2,FALSE)</f>
        <v>M</v>
      </c>
      <c r="I164" s="8">
        <f t="shared" si="34"/>
        <v>1</v>
      </c>
      <c r="J164" s="8" t="str">
        <f t="shared" si="35"/>
        <v/>
      </c>
      <c r="L164">
        <v>192</v>
      </c>
      <c r="M164">
        <v>25</v>
      </c>
      <c r="N164">
        <v>3</v>
      </c>
      <c r="O164" s="8" t="str">
        <f t="shared" si="36"/>
        <v/>
      </c>
      <c r="P164" s="8" t="str">
        <f t="shared" si="37"/>
        <v/>
      </c>
      <c r="Q164" s="8" t="str">
        <f>VLOOKUP(L164,Gender!$C$3:$D$454,2,FALSE)</f>
        <v>M</v>
      </c>
      <c r="R164" s="8" t="str">
        <f t="shared" si="38"/>
        <v/>
      </c>
      <c r="S164" s="8" t="str">
        <f t="shared" si="39"/>
        <v/>
      </c>
    </row>
    <row r="165" spans="3:19" x14ac:dyDescent="0.25">
      <c r="C165">
        <v>152</v>
      </c>
      <c r="D165">
        <v>1</v>
      </c>
      <c r="E165">
        <v>1</v>
      </c>
      <c r="F165" s="8">
        <f t="shared" si="33"/>
        <v>0.23850730124391561</v>
      </c>
      <c r="H165" s="8" t="str">
        <f>VLOOKUP(C165,Gender!$C$3:$D$454,2,FALSE)</f>
        <v>M</v>
      </c>
      <c r="I165" s="8">
        <f t="shared" si="34"/>
        <v>1</v>
      </c>
      <c r="J165" s="8" t="str">
        <f t="shared" si="35"/>
        <v/>
      </c>
      <c r="L165">
        <v>193</v>
      </c>
      <c r="M165">
        <v>133</v>
      </c>
      <c r="N165">
        <v>3</v>
      </c>
      <c r="O165" s="8" t="str">
        <f t="shared" si="36"/>
        <v/>
      </c>
      <c r="P165" s="8" t="str">
        <f t="shared" si="37"/>
        <v/>
      </c>
      <c r="Q165" s="8" t="str">
        <f>VLOOKUP(L165,Gender!$C$3:$D$454,2,FALSE)</f>
        <v>M</v>
      </c>
      <c r="R165" s="8" t="str">
        <f t="shared" si="38"/>
        <v/>
      </c>
      <c r="S165" s="8" t="str">
        <f t="shared" si="39"/>
        <v/>
      </c>
    </row>
    <row r="166" spans="3:19" x14ac:dyDescent="0.25">
      <c r="C166">
        <v>153</v>
      </c>
      <c r="D166">
        <v>1</v>
      </c>
      <c r="E166">
        <v>1</v>
      </c>
      <c r="F166" s="8">
        <f t="shared" si="33"/>
        <v>0.23850730124391561</v>
      </c>
      <c r="H166" s="8" t="str">
        <f>VLOOKUP(C166,Gender!$C$3:$D$454,2,FALSE)</f>
        <v>F</v>
      </c>
      <c r="I166" s="8" t="str">
        <f t="shared" si="34"/>
        <v/>
      </c>
      <c r="J166" s="8">
        <f t="shared" si="35"/>
        <v>1</v>
      </c>
      <c r="L166">
        <v>194</v>
      </c>
      <c r="M166">
        <v>76</v>
      </c>
      <c r="N166">
        <v>4</v>
      </c>
      <c r="O166" s="8" t="str">
        <f t="shared" si="36"/>
        <v/>
      </c>
      <c r="P166" s="8" t="str">
        <f t="shared" si="37"/>
        <v/>
      </c>
      <c r="Q166" s="8" t="str">
        <f>VLOOKUP(L166,Gender!$C$3:$D$454,2,FALSE)</f>
        <v>M</v>
      </c>
      <c r="R166" s="8" t="str">
        <f t="shared" si="38"/>
        <v/>
      </c>
      <c r="S166" s="8" t="str">
        <f t="shared" si="39"/>
        <v/>
      </c>
    </row>
    <row r="167" spans="3:19" x14ac:dyDescent="0.25">
      <c r="C167">
        <v>154</v>
      </c>
      <c r="D167">
        <v>1</v>
      </c>
      <c r="E167">
        <v>1</v>
      </c>
      <c r="F167" s="8">
        <f t="shared" si="33"/>
        <v>0.23850730124391561</v>
      </c>
      <c r="H167" s="8" t="str">
        <f>VLOOKUP(C167,Gender!$C$3:$D$454,2,FALSE)</f>
        <v>F</v>
      </c>
      <c r="I167" s="8" t="str">
        <f t="shared" si="34"/>
        <v/>
      </c>
      <c r="J167" s="8">
        <f t="shared" si="35"/>
        <v>1</v>
      </c>
      <c r="L167">
        <v>195</v>
      </c>
      <c r="M167">
        <v>1</v>
      </c>
      <c r="N167">
        <v>2</v>
      </c>
      <c r="O167" s="8">
        <f t="shared" si="36"/>
        <v>0.23850730124391561</v>
      </c>
      <c r="P167" s="8">
        <f t="shared" si="37"/>
        <v>1</v>
      </c>
      <c r="Q167" s="8" t="str">
        <f>VLOOKUP(L167,Gender!$C$3:$D$454,2,FALSE)</f>
        <v>M</v>
      </c>
      <c r="R167" s="8">
        <f t="shared" si="38"/>
        <v>2</v>
      </c>
      <c r="S167" s="8" t="str">
        <f t="shared" si="39"/>
        <v/>
      </c>
    </row>
    <row r="168" spans="3:19" x14ac:dyDescent="0.25">
      <c r="C168">
        <v>155</v>
      </c>
      <c r="D168">
        <v>1</v>
      </c>
      <c r="E168">
        <v>1</v>
      </c>
      <c r="F168" s="8">
        <f t="shared" si="33"/>
        <v>0.23850730124391561</v>
      </c>
      <c r="H168" s="8" t="str">
        <f>VLOOKUP(C168,Gender!$C$3:$D$454,2,FALSE)</f>
        <v>M</v>
      </c>
      <c r="I168" s="8">
        <f t="shared" si="34"/>
        <v>1</v>
      </c>
      <c r="J168" s="8" t="str">
        <f t="shared" si="35"/>
        <v/>
      </c>
      <c r="L168">
        <v>197</v>
      </c>
      <c r="M168">
        <v>1</v>
      </c>
      <c r="N168">
        <v>2</v>
      </c>
      <c r="O168" s="8">
        <f t="shared" si="36"/>
        <v>0.23850730124391561</v>
      </c>
      <c r="P168" s="8">
        <f t="shared" si="37"/>
        <v>1</v>
      </c>
      <c r="Q168" s="8" t="str">
        <f>VLOOKUP(L168,Gender!$C$3:$D$454,2,FALSE)</f>
        <v>M</v>
      </c>
      <c r="R168" s="8">
        <f t="shared" si="38"/>
        <v>2</v>
      </c>
      <c r="S168" s="8" t="str">
        <f t="shared" si="39"/>
        <v/>
      </c>
    </row>
    <row r="169" spans="3:19" x14ac:dyDescent="0.25">
      <c r="C169">
        <v>156</v>
      </c>
      <c r="D169">
        <v>1</v>
      </c>
      <c r="E169">
        <v>1</v>
      </c>
      <c r="F169" s="8">
        <f t="shared" si="33"/>
        <v>0.23850730124391561</v>
      </c>
      <c r="H169" s="8" t="str">
        <f>VLOOKUP(C169,Gender!$C$3:$D$454,2,FALSE)</f>
        <v>M</v>
      </c>
      <c r="I169" s="8">
        <f t="shared" si="34"/>
        <v>1</v>
      </c>
      <c r="J169" s="8" t="str">
        <f t="shared" si="35"/>
        <v/>
      </c>
      <c r="L169">
        <v>198</v>
      </c>
      <c r="M169">
        <v>45</v>
      </c>
      <c r="N169">
        <v>2</v>
      </c>
      <c r="O169" s="8">
        <f t="shared" si="36"/>
        <v>1893.2617631151973</v>
      </c>
      <c r="P169" s="8">
        <f t="shared" si="37"/>
        <v>45</v>
      </c>
      <c r="Q169" s="8" t="str">
        <f>VLOOKUP(L169,Gender!$C$3:$D$454,2,FALSE)</f>
        <v>M</v>
      </c>
      <c r="R169" s="8">
        <f t="shared" si="38"/>
        <v>2</v>
      </c>
      <c r="S169" s="8" t="str">
        <f t="shared" si="39"/>
        <v/>
      </c>
    </row>
    <row r="170" spans="3:19" x14ac:dyDescent="0.25">
      <c r="C170">
        <v>157</v>
      </c>
      <c r="D170">
        <v>2</v>
      </c>
      <c r="E170">
        <v>1</v>
      </c>
      <c r="F170" s="8">
        <f t="shared" si="33"/>
        <v>0.26176311519740403</v>
      </c>
      <c r="H170" s="8" t="str">
        <f>VLOOKUP(C170,Gender!$C$3:$D$454,2,FALSE)</f>
        <v>M</v>
      </c>
      <c r="I170" s="8">
        <f t="shared" si="34"/>
        <v>1</v>
      </c>
      <c r="J170" s="8" t="str">
        <f t="shared" si="35"/>
        <v/>
      </c>
      <c r="L170">
        <v>199</v>
      </c>
      <c r="M170">
        <v>85</v>
      </c>
      <c r="N170">
        <v>2</v>
      </c>
      <c r="O170" s="8">
        <f t="shared" si="36"/>
        <v>6974.1919956733364</v>
      </c>
      <c r="P170" s="8">
        <f t="shared" si="37"/>
        <v>85</v>
      </c>
      <c r="Q170" s="8" t="str">
        <f>VLOOKUP(L170,Gender!$C$3:$D$454,2,FALSE)</f>
        <v>F</v>
      </c>
      <c r="R170" s="8" t="str">
        <f t="shared" si="38"/>
        <v/>
      </c>
      <c r="S170" s="8">
        <f t="shared" si="39"/>
        <v>2</v>
      </c>
    </row>
    <row r="171" spans="3:19" x14ac:dyDescent="0.25">
      <c r="C171">
        <v>158</v>
      </c>
      <c r="D171">
        <v>1</v>
      </c>
      <c r="E171">
        <v>1</v>
      </c>
      <c r="F171" s="8">
        <f t="shared" si="33"/>
        <v>0.23850730124391561</v>
      </c>
      <c r="H171" s="8" t="str">
        <f>VLOOKUP(C171,Gender!$C$3:$D$454,2,FALSE)</f>
        <v>F</v>
      </c>
      <c r="I171" s="8" t="str">
        <f t="shared" si="34"/>
        <v/>
      </c>
      <c r="J171" s="8">
        <f t="shared" si="35"/>
        <v>1</v>
      </c>
      <c r="L171">
        <v>200</v>
      </c>
      <c r="M171">
        <v>1</v>
      </c>
      <c r="N171">
        <v>2</v>
      </c>
      <c r="O171" s="8">
        <f t="shared" si="36"/>
        <v>0.23850730124391561</v>
      </c>
      <c r="P171" s="8">
        <f t="shared" si="37"/>
        <v>1</v>
      </c>
      <c r="Q171" s="8" t="str">
        <f>VLOOKUP(L171,Gender!$C$3:$D$454,2,FALSE)</f>
        <v>F</v>
      </c>
      <c r="R171" s="8" t="str">
        <f t="shared" si="38"/>
        <v/>
      </c>
      <c r="S171" s="8">
        <f t="shared" si="39"/>
        <v>2</v>
      </c>
    </row>
    <row r="172" spans="3:19" x14ac:dyDescent="0.25">
      <c r="C172">
        <v>159</v>
      </c>
      <c r="D172">
        <v>3</v>
      </c>
      <c r="E172">
        <v>1</v>
      </c>
      <c r="F172" s="8">
        <f t="shared" si="33"/>
        <v>2.2850189291508922</v>
      </c>
      <c r="H172" s="8" t="str">
        <f>VLOOKUP(C172,Gender!$C$3:$D$454,2,FALSE)</f>
        <v>M</v>
      </c>
      <c r="I172" s="8">
        <f t="shared" si="34"/>
        <v>1</v>
      </c>
      <c r="J172" s="8" t="str">
        <f t="shared" si="35"/>
        <v/>
      </c>
      <c r="L172">
        <v>201</v>
      </c>
      <c r="M172">
        <v>13</v>
      </c>
      <c r="N172">
        <v>5</v>
      </c>
      <c r="O172" s="8" t="str">
        <f t="shared" si="36"/>
        <v/>
      </c>
      <c r="P172" s="8" t="str">
        <f t="shared" si="37"/>
        <v/>
      </c>
      <c r="Q172" s="8" t="str">
        <f>VLOOKUP(L172,Gender!$C$3:$D$454,2,FALSE)</f>
        <v>F</v>
      </c>
      <c r="R172" s="8" t="str">
        <f t="shared" si="38"/>
        <v/>
      </c>
      <c r="S172" s="8" t="str">
        <f t="shared" si="39"/>
        <v/>
      </c>
    </row>
    <row r="173" spans="3:19" x14ac:dyDescent="0.25">
      <c r="C173">
        <v>160</v>
      </c>
      <c r="D173">
        <v>1</v>
      </c>
      <c r="E173">
        <v>1</v>
      </c>
      <c r="F173" s="8">
        <f t="shared" si="33"/>
        <v>0.23850730124391561</v>
      </c>
      <c r="H173" s="8" t="str">
        <f>VLOOKUP(C173,Gender!$C$3:$D$454,2,FALSE)</f>
        <v>M</v>
      </c>
      <c r="I173" s="8">
        <f t="shared" si="34"/>
        <v>1</v>
      </c>
      <c r="J173" s="8" t="str">
        <f t="shared" si="35"/>
        <v/>
      </c>
      <c r="L173">
        <v>202</v>
      </c>
      <c r="M173">
        <v>56</v>
      </c>
      <c r="N173">
        <v>3</v>
      </c>
      <c r="O173" s="8" t="str">
        <f t="shared" si="36"/>
        <v/>
      </c>
      <c r="P173" s="8" t="str">
        <f t="shared" si="37"/>
        <v/>
      </c>
      <c r="Q173" s="8" t="str">
        <f>VLOOKUP(L173,Gender!$C$3:$D$454,2,FALSE)</f>
        <v>F</v>
      </c>
      <c r="R173" s="8" t="str">
        <f t="shared" si="38"/>
        <v/>
      </c>
      <c r="S173" s="8" t="str">
        <f t="shared" si="39"/>
        <v/>
      </c>
    </row>
    <row r="174" spans="3:19" x14ac:dyDescent="0.25">
      <c r="C174">
        <v>161</v>
      </c>
      <c r="D174">
        <v>1</v>
      </c>
      <c r="E174">
        <v>1</v>
      </c>
      <c r="F174" s="8">
        <f t="shared" si="33"/>
        <v>0.23850730124391561</v>
      </c>
      <c r="H174" s="8" t="str">
        <f>VLOOKUP(C174,Gender!$C$3:$D$454,2,FALSE)</f>
        <v>M</v>
      </c>
      <c r="I174" s="8">
        <f t="shared" si="34"/>
        <v>1</v>
      </c>
      <c r="J174" s="8" t="str">
        <f t="shared" si="35"/>
        <v/>
      </c>
      <c r="L174">
        <v>204</v>
      </c>
      <c r="M174">
        <v>94</v>
      </c>
      <c r="N174">
        <v>3</v>
      </c>
      <c r="O174" s="8" t="str">
        <f t="shared" si="36"/>
        <v/>
      </c>
      <c r="P174" s="8" t="str">
        <f t="shared" si="37"/>
        <v/>
      </c>
      <c r="Q174" s="8" t="str">
        <f>VLOOKUP(L174,Gender!$C$3:$D$454,2,FALSE)</f>
        <v>M</v>
      </c>
      <c r="R174" s="8" t="str">
        <f t="shared" si="38"/>
        <v/>
      </c>
      <c r="S174" s="8" t="str">
        <f t="shared" si="39"/>
        <v/>
      </c>
    </row>
    <row r="175" spans="3:19" x14ac:dyDescent="0.25">
      <c r="C175">
        <v>162</v>
      </c>
      <c r="D175">
        <v>1</v>
      </c>
      <c r="E175">
        <v>1</v>
      </c>
      <c r="F175" s="8">
        <f t="shared" si="33"/>
        <v>0.23850730124391561</v>
      </c>
      <c r="H175" s="8" t="str">
        <f>VLOOKUP(C175,Gender!$C$3:$D$454,2,FALSE)</f>
        <v>M</v>
      </c>
      <c r="I175" s="8">
        <f t="shared" si="34"/>
        <v>1</v>
      </c>
      <c r="J175" s="8" t="str">
        <f t="shared" si="35"/>
        <v/>
      </c>
      <c r="L175">
        <v>205</v>
      </c>
      <c r="M175">
        <v>39</v>
      </c>
      <c r="N175">
        <v>2</v>
      </c>
      <c r="O175" s="8">
        <f t="shared" si="36"/>
        <v>1407.1222282314764</v>
      </c>
      <c r="P175" s="8">
        <f t="shared" si="37"/>
        <v>39</v>
      </c>
      <c r="Q175" s="8" t="str">
        <f>VLOOKUP(L175,Gender!$C$3:$D$454,2,FALSE)</f>
        <v>F</v>
      </c>
      <c r="R175" s="8" t="str">
        <f t="shared" si="38"/>
        <v/>
      </c>
      <c r="S175" s="8">
        <f t="shared" si="39"/>
        <v>2</v>
      </c>
    </row>
    <row r="176" spans="3:19" x14ac:dyDescent="0.25">
      <c r="C176">
        <v>163</v>
      </c>
      <c r="D176">
        <v>1</v>
      </c>
      <c r="E176">
        <v>3</v>
      </c>
      <c r="F176" s="8" t="str">
        <f t="shared" si="33"/>
        <v/>
      </c>
      <c r="H176" s="8" t="str">
        <f>VLOOKUP(C176,Gender!$C$3:$D$454,2,FALSE)</f>
        <v>M</v>
      </c>
      <c r="I176" s="8" t="str">
        <f t="shared" si="34"/>
        <v/>
      </c>
      <c r="J176" s="8" t="str">
        <f t="shared" si="35"/>
        <v/>
      </c>
      <c r="L176">
        <v>206</v>
      </c>
      <c r="M176">
        <v>32</v>
      </c>
      <c r="N176">
        <v>3</v>
      </c>
      <c r="O176" s="8" t="str">
        <f t="shared" si="36"/>
        <v/>
      </c>
      <c r="P176" s="8" t="str">
        <f t="shared" si="37"/>
        <v/>
      </c>
      <c r="Q176" s="8" t="str">
        <f>VLOOKUP(L176,Gender!$C$3:$D$454,2,FALSE)</f>
        <v>M</v>
      </c>
      <c r="R176" s="8" t="str">
        <f t="shared" si="38"/>
        <v/>
      </c>
      <c r="S176" s="8" t="str">
        <f t="shared" si="39"/>
        <v/>
      </c>
    </row>
    <row r="177" spans="3:19" x14ac:dyDescent="0.25">
      <c r="C177">
        <v>164</v>
      </c>
      <c r="D177">
        <v>1</v>
      </c>
      <c r="E177">
        <v>1</v>
      </c>
      <c r="F177" s="8">
        <f t="shared" si="33"/>
        <v>0.23850730124391561</v>
      </c>
      <c r="H177" s="8" t="str">
        <f>VLOOKUP(C177,Gender!$C$3:$D$454,2,FALSE)</f>
        <v>F</v>
      </c>
      <c r="I177" s="8" t="str">
        <f t="shared" si="34"/>
        <v/>
      </c>
      <c r="J177" s="8">
        <f t="shared" si="35"/>
        <v>1</v>
      </c>
      <c r="L177">
        <v>207</v>
      </c>
      <c r="M177">
        <v>13</v>
      </c>
      <c r="N177">
        <v>2</v>
      </c>
      <c r="O177" s="8">
        <f t="shared" si="36"/>
        <v>132.5175770686858</v>
      </c>
      <c r="P177" s="8">
        <f t="shared" si="37"/>
        <v>13</v>
      </c>
      <c r="Q177" s="8" t="str">
        <f>VLOOKUP(L177,Gender!$C$3:$D$454,2,FALSE)</f>
        <v>F</v>
      </c>
      <c r="R177" s="8" t="str">
        <f t="shared" si="38"/>
        <v/>
      </c>
      <c r="S177" s="8">
        <f t="shared" si="39"/>
        <v>2</v>
      </c>
    </row>
    <row r="178" spans="3:19" x14ac:dyDescent="0.25">
      <c r="C178">
        <v>165</v>
      </c>
      <c r="D178">
        <v>1</v>
      </c>
      <c r="E178">
        <v>1</v>
      </c>
      <c r="F178" s="8">
        <f t="shared" si="33"/>
        <v>0.23850730124391561</v>
      </c>
      <c r="H178" s="8" t="str">
        <f>VLOOKUP(C178,Gender!$C$3:$D$454,2,FALSE)</f>
        <v>M</v>
      </c>
      <c r="I178" s="8">
        <f t="shared" si="34"/>
        <v>1</v>
      </c>
      <c r="J178" s="8" t="str">
        <f t="shared" si="35"/>
        <v/>
      </c>
      <c r="L178">
        <v>208</v>
      </c>
      <c r="M178">
        <v>1</v>
      </c>
      <c r="N178">
        <v>2</v>
      </c>
      <c r="O178" s="8">
        <f t="shared" si="36"/>
        <v>0.23850730124391561</v>
      </c>
      <c r="P178" s="8">
        <f t="shared" si="37"/>
        <v>1</v>
      </c>
      <c r="Q178" s="8" t="str">
        <f>VLOOKUP(L178,Gender!$C$3:$D$454,2,FALSE)</f>
        <v>M</v>
      </c>
      <c r="R178" s="8">
        <f t="shared" si="38"/>
        <v>2</v>
      </c>
      <c r="S178" s="8" t="str">
        <f t="shared" si="39"/>
        <v/>
      </c>
    </row>
    <row r="179" spans="3:19" x14ac:dyDescent="0.25">
      <c r="C179">
        <v>166</v>
      </c>
      <c r="D179">
        <v>1</v>
      </c>
      <c r="E179">
        <v>2</v>
      </c>
      <c r="F179" s="8" t="str">
        <f t="shared" si="33"/>
        <v/>
      </c>
      <c r="H179" s="8" t="str">
        <f>VLOOKUP(C179,Gender!$C$3:$D$454,2,FALSE)</f>
        <v>M</v>
      </c>
      <c r="I179" s="8" t="str">
        <f t="shared" si="34"/>
        <v/>
      </c>
      <c r="J179" s="8" t="str">
        <f t="shared" si="35"/>
        <v/>
      </c>
      <c r="L179">
        <v>209</v>
      </c>
      <c r="M179">
        <v>12</v>
      </c>
      <c r="N179">
        <v>3</v>
      </c>
      <c r="O179" s="8" t="str">
        <f t="shared" si="36"/>
        <v/>
      </c>
      <c r="P179" s="8" t="str">
        <f t="shared" si="37"/>
        <v/>
      </c>
      <c r="Q179" s="8" t="str">
        <f>VLOOKUP(L179,Gender!$C$3:$D$454,2,FALSE)</f>
        <v>F</v>
      </c>
      <c r="R179" s="8" t="str">
        <f t="shared" si="38"/>
        <v/>
      </c>
      <c r="S179" s="8" t="str">
        <f t="shared" si="39"/>
        <v/>
      </c>
    </row>
    <row r="180" spans="3:19" x14ac:dyDescent="0.25">
      <c r="C180">
        <v>167</v>
      </c>
      <c r="D180">
        <v>1</v>
      </c>
      <c r="E180">
        <v>1</v>
      </c>
      <c r="F180" s="8">
        <f t="shared" si="33"/>
        <v>0.23850730124391561</v>
      </c>
      <c r="H180" s="8" t="str">
        <f>VLOOKUP(C180,Gender!$C$3:$D$454,2,FALSE)</f>
        <v>M</v>
      </c>
      <c r="I180" s="8">
        <f t="shared" si="34"/>
        <v>1</v>
      </c>
      <c r="J180" s="8" t="str">
        <f t="shared" si="35"/>
        <v/>
      </c>
      <c r="L180">
        <v>211</v>
      </c>
      <c r="M180">
        <v>143</v>
      </c>
      <c r="N180">
        <v>2</v>
      </c>
      <c r="O180" s="8">
        <f t="shared" si="36"/>
        <v>20025.540832882638</v>
      </c>
      <c r="P180" s="8">
        <f t="shared" si="37"/>
        <v>143</v>
      </c>
      <c r="Q180" s="8" t="str">
        <f>VLOOKUP(L180,Gender!$C$3:$D$454,2,FALSE)</f>
        <v>M</v>
      </c>
      <c r="R180" s="8">
        <f t="shared" si="38"/>
        <v>2</v>
      </c>
      <c r="S180" s="8" t="str">
        <f t="shared" si="39"/>
        <v/>
      </c>
    </row>
    <row r="181" spans="3:19" x14ac:dyDescent="0.25">
      <c r="C181">
        <v>168</v>
      </c>
      <c r="D181">
        <v>1</v>
      </c>
      <c r="E181">
        <v>1</v>
      </c>
      <c r="F181" s="8">
        <f t="shared" si="33"/>
        <v>0.23850730124391561</v>
      </c>
      <c r="H181" s="8" t="str">
        <f>VLOOKUP(C181,Gender!$C$3:$D$454,2,FALSE)</f>
        <v>F</v>
      </c>
      <c r="I181" s="8" t="str">
        <f t="shared" si="34"/>
        <v/>
      </c>
      <c r="J181" s="8">
        <f t="shared" si="35"/>
        <v>1</v>
      </c>
      <c r="L181">
        <v>212</v>
      </c>
      <c r="M181">
        <v>6</v>
      </c>
      <c r="N181">
        <v>3</v>
      </c>
      <c r="O181" s="8" t="str">
        <f t="shared" si="36"/>
        <v/>
      </c>
      <c r="P181" s="8" t="str">
        <f t="shared" si="37"/>
        <v/>
      </c>
      <c r="Q181" s="8" t="str">
        <f>VLOOKUP(L181,Gender!$C$3:$D$454,2,FALSE)</f>
        <v>F</v>
      </c>
      <c r="R181" s="8" t="str">
        <f t="shared" si="38"/>
        <v/>
      </c>
      <c r="S181" s="8" t="str">
        <f t="shared" si="39"/>
        <v/>
      </c>
    </row>
    <row r="182" spans="3:19" x14ac:dyDescent="0.25">
      <c r="C182">
        <v>169</v>
      </c>
      <c r="D182">
        <v>1</v>
      </c>
      <c r="E182">
        <v>1</v>
      </c>
      <c r="F182" s="8">
        <f t="shared" si="33"/>
        <v>0.23850730124391561</v>
      </c>
      <c r="H182" s="8" t="str">
        <f>VLOOKUP(C182,Gender!$C$3:$D$454,2,FALSE)</f>
        <v>F</v>
      </c>
      <c r="I182" s="8" t="str">
        <f t="shared" si="34"/>
        <v/>
      </c>
      <c r="J182" s="8">
        <f t="shared" si="35"/>
        <v>1</v>
      </c>
      <c r="L182">
        <v>213</v>
      </c>
      <c r="M182">
        <v>10</v>
      </c>
      <c r="N182">
        <v>5</v>
      </c>
      <c r="O182" s="8" t="str">
        <f t="shared" si="36"/>
        <v/>
      </c>
      <c r="P182" s="8" t="str">
        <f t="shared" si="37"/>
        <v/>
      </c>
      <c r="Q182" s="8" t="str">
        <f>VLOOKUP(L182,Gender!$C$3:$D$454,2,FALSE)</f>
        <v>M</v>
      </c>
      <c r="R182" s="8" t="str">
        <f t="shared" si="38"/>
        <v/>
      </c>
      <c r="S182" s="8" t="str">
        <f t="shared" si="39"/>
        <v/>
      </c>
    </row>
    <row r="183" spans="3:19" x14ac:dyDescent="0.25">
      <c r="C183">
        <v>170</v>
      </c>
      <c r="D183">
        <v>1</v>
      </c>
      <c r="E183">
        <v>1</v>
      </c>
      <c r="F183" s="8">
        <f t="shared" si="33"/>
        <v>0.23850730124391561</v>
      </c>
      <c r="H183" s="8" t="str">
        <f>VLOOKUP(C183,Gender!$C$3:$D$454,2,FALSE)</f>
        <v>F</v>
      </c>
      <c r="I183" s="8" t="str">
        <f t="shared" si="34"/>
        <v/>
      </c>
      <c r="J183" s="8">
        <f t="shared" si="35"/>
        <v>1</v>
      </c>
      <c r="L183">
        <v>214</v>
      </c>
      <c r="M183">
        <v>64</v>
      </c>
      <c r="N183">
        <v>2</v>
      </c>
      <c r="O183" s="8">
        <f t="shared" si="36"/>
        <v>3907.7036235803134</v>
      </c>
      <c r="P183" s="8">
        <f t="shared" si="37"/>
        <v>64</v>
      </c>
      <c r="Q183" s="8" t="str">
        <f>VLOOKUP(L183,Gender!$C$3:$D$454,2,FALSE)</f>
        <v>M</v>
      </c>
      <c r="R183" s="8">
        <f t="shared" si="38"/>
        <v>2</v>
      </c>
      <c r="S183" s="8" t="str">
        <f t="shared" si="39"/>
        <v/>
      </c>
    </row>
    <row r="184" spans="3:19" x14ac:dyDescent="0.25">
      <c r="C184">
        <v>171</v>
      </c>
      <c r="D184">
        <v>1</v>
      </c>
      <c r="E184">
        <v>1</v>
      </c>
      <c r="F184" s="8">
        <f t="shared" si="33"/>
        <v>0.23850730124391561</v>
      </c>
      <c r="H184" s="8" t="str">
        <f>VLOOKUP(C184,Gender!$C$3:$D$454,2,FALSE)</f>
        <v>M</v>
      </c>
      <c r="I184" s="8">
        <f t="shared" si="34"/>
        <v>1</v>
      </c>
      <c r="J184" s="8" t="str">
        <f t="shared" si="35"/>
        <v/>
      </c>
      <c r="L184">
        <v>215</v>
      </c>
      <c r="M184">
        <v>72</v>
      </c>
      <c r="N184">
        <v>3</v>
      </c>
      <c r="O184" s="8" t="str">
        <f t="shared" si="36"/>
        <v/>
      </c>
      <c r="P184" s="8" t="str">
        <f t="shared" si="37"/>
        <v/>
      </c>
      <c r="Q184" s="8" t="str">
        <f>VLOOKUP(L184,Gender!$C$3:$D$454,2,FALSE)</f>
        <v>M</v>
      </c>
      <c r="R184" s="8" t="str">
        <f t="shared" si="38"/>
        <v/>
      </c>
      <c r="S184" s="8" t="str">
        <f t="shared" si="39"/>
        <v/>
      </c>
    </row>
    <row r="185" spans="3:19" x14ac:dyDescent="0.25">
      <c r="C185">
        <v>172</v>
      </c>
      <c r="D185">
        <v>1</v>
      </c>
      <c r="E185">
        <v>1</v>
      </c>
      <c r="F185" s="8">
        <f t="shared" si="33"/>
        <v>0.23850730124391561</v>
      </c>
      <c r="H185" s="8" t="str">
        <f>VLOOKUP(C185,Gender!$C$3:$D$454,2,FALSE)</f>
        <v>M</v>
      </c>
      <c r="I185" s="8">
        <f t="shared" si="34"/>
        <v>1</v>
      </c>
      <c r="J185" s="8" t="str">
        <f t="shared" si="35"/>
        <v/>
      </c>
      <c r="L185">
        <v>217</v>
      </c>
      <c r="M185">
        <v>47</v>
      </c>
      <c r="N185">
        <v>3</v>
      </c>
      <c r="O185" s="8" t="str">
        <f t="shared" si="36"/>
        <v/>
      </c>
      <c r="P185" s="8" t="str">
        <f t="shared" si="37"/>
        <v/>
      </c>
      <c r="Q185" s="8" t="str">
        <f>VLOOKUP(L185,Gender!$C$3:$D$454,2,FALSE)</f>
        <v>M</v>
      </c>
      <c r="R185" s="8" t="str">
        <f t="shared" si="38"/>
        <v/>
      </c>
      <c r="S185" s="8" t="str">
        <f t="shared" si="39"/>
        <v/>
      </c>
    </row>
    <row r="186" spans="3:19" x14ac:dyDescent="0.25">
      <c r="C186">
        <v>173</v>
      </c>
      <c r="D186">
        <v>2</v>
      </c>
      <c r="E186">
        <v>1</v>
      </c>
      <c r="F186" s="8">
        <f t="shared" si="33"/>
        <v>0.26176311519740403</v>
      </c>
      <c r="H186" s="8" t="str">
        <f>VLOOKUP(C186,Gender!$C$3:$D$454,2,FALSE)</f>
        <v>F</v>
      </c>
      <c r="I186" s="8" t="str">
        <f t="shared" si="34"/>
        <v/>
      </c>
      <c r="J186" s="8">
        <f t="shared" si="35"/>
        <v>1</v>
      </c>
      <c r="L186">
        <v>219</v>
      </c>
      <c r="M186">
        <v>28</v>
      </c>
      <c r="N186">
        <v>3</v>
      </c>
      <c r="O186" s="8" t="str">
        <f t="shared" si="36"/>
        <v/>
      </c>
      <c r="P186" s="8" t="str">
        <f t="shared" si="37"/>
        <v/>
      </c>
      <c r="Q186" s="8" t="str">
        <f>VLOOKUP(L186,Gender!$C$3:$D$454,2,FALSE)</f>
        <v>M</v>
      </c>
      <c r="R186" s="8" t="str">
        <f t="shared" si="38"/>
        <v/>
      </c>
      <c r="S186" s="8" t="str">
        <f t="shared" si="39"/>
        <v/>
      </c>
    </row>
    <row r="187" spans="3:19" x14ac:dyDescent="0.25">
      <c r="C187">
        <v>174</v>
      </c>
      <c r="D187">
        <v>1</v>
      </c>
      <c r="E187">
        <v>1</v>
      </c>
      <c r="F187" s="8">
        <f t="shared" si="33"/>
        <v>0.23850730124391561</v>
      </c>
      <c r="H187" s="8" t="str">
        <f>VLOOKUP(C187,Gender!$C$3:$D$454,2,FALSE)</f>
        <v>F</v>
      </c>
      <c r="I187" s="8" t="str">
        <f t="shared" si="34"/>
        <v/>
      </c>
      <c r="J187" s="8">
        <f t="shared" si="35"/>
        <v>1</v>
      </c>
      <c r="L187">
        <v>221</v>
      </c>
      <c r="M187">
        <v>14</v>
      </c>
      <c r="N187">
        <v>4</v>
      </c>
      <c r="O187" s="8" t="str">
        <f t="shared" si="36"/>
        <v/>
      </c>
      <c r="P187" s="8" t="str">
        <f t="shared" si="37"/>
        <v/>
      </c>
      <c r="Q187" s="8" t="str">
        <f>VLOOKUP(L187,Gender!$C$3:$D$454,2,FALSE)</f>
        <v>M</v>
      </c>
      <c r="R187" s="8" t="str">
        <f t="shared" si="38"/>
        <v/>
      </c>
      <c r="S187" s="8" t="str">
        <f t="shared" si="39"/>
        <v/>
      </c>
    </row>
    <row r="188" spans="3:19" x14ac:dyDescent="0.25">
      <c r="C188">
        <v>175</v>
      </c>
      <c r="D188">
        <v>1</v>
      </c>
      <c r="E188">
        <v>1</v>
      </c>
      <c r="F188" s="8">
        <f t="shared" si="33"/>
        <v>0.23850730124391561</v>
      </c>
      <c r="H188" s="8" t="str">
        <f>VLOOKUP(C188,Gender!$C$3:$D$454,2,FALSE)</f>
        <v>M</v>
      </c>
      <c r="I188" s="8">
        <f t="shared" si="34"/>
        <v>1</v>
      </c>
      <c r="J188" s="8" t="str">
        <f t="shared" si="35"/>
        <v/>
      </c>
      <c r="L188">
        <v>222</v>
      </c>
      <c r="M188">
        <v>43</v>
      </c>
      <c r="N188">
        <v>2</v>
      </c>
      <c r="O188" s="8">
        <f t="shared" si="36"/>
        <v>1723.2152514872903</v>
      </c>
      <c r="P188" s="8">
        <f t="shared" si="37"/>
        <v>43</v>
      </c>
      <c r="Q188" s="8" t="str">
        <f>VLOOKUP(L188,Gender!$C$3:$D$454,2,FALSE)</f>
        <v>F</v>
      </c>
      <c r="R188" s="8" t="str">
        <f t="shared" si="38"/>
        <v/>
      </c>
      <c r="S188" s="8">
        <f t="shared" si="39"/>
        <v>2</v>
      </c>
    </row>
    <row r="189" spans="3:19" x14ac:dyDescent="0.25">
      <c r="C189">
        <v>176</v>
      </c>
      <c r="D189">
        <v>1</v>
      </c>
      <c r="E189">
        <v>1</v>
      </c>
      <c r="F189" s="8">
        <f t="shared" si="33"/>
        <v>0.23850730124391561</v>
      </c>
      <c r="H189" s="8" t="str">
        <f>VLOOKUP(C189,Gender!$C$3:$D$454,2,FALSE)</f>
        <v>M</v>
      </c>
      <c r="I189" s="8">
        <f t="shared" si="34"/>
        <v>1</v>
      </c>
      <c r="J189" s="8" t="str">
        <f t="shared" si="35"/>
        <v/>
      </c>
      <c r="L189">
        <v>223</v>
      </c>
      <c r="M189">
        <v>25</v>
      </c>
      <c r="N189">
        <v>3</v>
      </c>
      <c r="O189" s="8" t="str">
        <f t="shared" si="36"/>
        <v/>
      </c>
      <c r="P189" s="8" t="str">
        <f t="shared" si="37"/>
        <v/>
      </c>
      <c r="Q189" s="8" t="str">
        <f>VLOOKUP(L189,Gender!$C$3:$D$454,2,FALSE)</f>
        <v>M</v>
      </c>
      <c r="R189" s="8" t="str">
        <f t="shared" si="38"/>
        <v/>
      </c>
      <c r="S189" s="8" t="str">
        <f t="shared" si="39"/>
        <v/>
      </c>
    </row>
    <row r="190" spans="3:19" x14ac:dyDescent="0.25">
      <c r="C190">
        <v>177</v>
      </c>
      <c r="D190">
        <v>1</v>
      </c>
      <c r="E190">
        <v>1</v>
      </c>
      <c r="F190" s="8">
        <f t="shared" si="33"/>
        <v>0.23850730124391561</v>
      </c>
      <c r="H190" s="8" t="str">
        <f>VLOOKUP(C190,Gender!$C$3:$D$454,2,FALSE)</f>
        <v>M</v>
      </c>
      <c r="I190" s="8">
        <f t="shared" si="34"/>
        <v>1</v>
      </c>
      <c r="J190" s="8" t="str">
        <f t="shared" si="35"/>
        <v/>
      </c>
      <c r="L190">
        <v>224</v>
      </c>
      <c r="M190">
        <v>1</v>
      </c>
      <c r="N190">
        <v>3</v>
      </c>
      <c r="O190" s="8" t="str">
        <f t="shared" si="36"/>
        <v/>
      </c>
      <c r="P190" s="8" t="str">
        <f t="shared" si="37"/>
        <v/>
      </c>
      <c r="Q190" s="8" t="str">
        <f>VLOOKUP(L190,Gender!$C$3:$D$454,2,FALSE)</f>
        <v>F</v>
      </c>
      <c r="R190" s="8" t="str">
        <f t="shared" si="38"/>
        <v/>
      </c>
      <c r="S190" s="8" t="str">
        <f t="shared" si="39"/>
        <v/>
      </c>
    </row>
    <row r="191" spans="3:19" x14ac:dyDescent="0.25">
      <c r="C191">
        <v>178</v>
      </c>
      <c r="D191">
        <v>4</v>
      </c>
      <c r="E191">
        <v>1</v>
      </c>
      <c r="F191" s="8">
        <f t="shared" si="33"/>
        <v>6.3082747431043806</v>
      </c>
      <c r="H191" s="8" t="str">
        <f>VLOOKUP(C191,Gender!$C$3:$D$454,2,FALSE)</f>
        <v>M</v>
      </c>
      <c r="I191" s="8">
        <f t="shared" si="34"/>
        <v>1</v>
      </c>
      <c r="J191" s="8" t="str">
        <f t="shared" si="35"/>
        <v/>
      </c>
      <c r="L191">
        <v>226</v>
      </c>
      <c r="M191">
        <v>26</v>
      </c>
      <c r="N191">
        <v>3</v>
      </c>
      <c r="O191" s="8" t="str">
        <f t="shared" si="36"/>
        <v/>
      </c>
      <c r="P191" s="8" t="str">
        <f t="shared" si="37"/>
        <v/>
      </c>
      <c r="Q191" s="8" t="str">
        <f>VLOOKUP(L191,Gender!$C$3:$D$454,2,FALSE)</f>
        <v>M</v>
      </c>
      <c r="R191" s="8" t="str">
        <f t="shared" si="38"/>
        <v/>
      </c>
      <c r="S191" s="8" t="str">
        <f t="shared" si="39"/>
        <v/>
      </c>
    </row>
    <row r="192" spans="3:19" x14ac:dyDescent="0.25">
      <c r="C192">
        <v>179</v>
      </c>
      <c r="D192">
        <v>2</v>
      </c>
      <c r="E192">
        <v>1</v>
      </c>
      <c r="F192" s="8">
        <f t="shared" si="33"/>
        <v>0.26176311519740403</v>
      </c>
      <c r="H192" s="8" t="str">
        <f>VLOOKUP(C192,Gender!$C$3:$D$454,2,FALSE)</f>
        <v>M</v>
      </c>
      <c r="I192" s="8">
        <f t="shared" si="34"/>
        <v>1</v>
      </c>
      <c r="J192" s="8" t="str">
        <f t="shared" si="35"/>
        <v/>
      </c>
      <c r="L192">
        <v>227</v>
      </c>
      <c r="M192">
        <v>57</v>
      </c>
      <c r="N192">
        <v>2</v>
      </c>
      <c r="O192" s="8">
        <f t="shared" si="36"/>
        <v>3081.5408328826388</v>
      </c>
      <c r="P192" s="8">
        <f t="shared" si="37"/>
        <v>57</v>
      </c>
      <c r="Q192" s="8" t="str">
        <f>VLOOKUP(L192,Gender!$C$3:$D$454,2,FALSE)</f>
        <v>F</v>
      </c>
      <c r="R192" s="8" t="str">
        <f t="shared" si="38"/>
        <v/>
      </c>
      <c r="S192" s="8">
        <f t="shared" si="39"/>
        <v>2</v>
      </c>
    </row>
    <row r="193" spans="3:19" x14ac:dyDescent="0.25">
      <c r="C193">
        <v>180</v>
      </c>
      <c r="D193">
        <v>1</v>
      </c>
      <c r="E193">
        <v>1</v>
      </c>
      <c r="F193" s="8">
        <f t="shared" si="33"/>
        <v>0.23850730124391561</v>
      </c>
      <c r="H193" s="8" t="str">
        <f>VLOOKUP(C193,Gender!$C$3:$D$454,2,FALSE)</f>
        <v>M</v>
      </c>
      <c r="I193" s="8">
        <f t="shared" si="34"/>
        <v>1</v>
      </c>
      <c r="J193" s="8" t="str">
        <f t="shared" si="35"/>
        <v/>
      </c>
      <c r="L193">
        <v>229</v>
      </c>
      <c r="M193">
        <v>1</v>
      </c>
      <c r="N193">
        <v>2</v>
      </c>
      <c r="O193" s="8">
        <f t="shared" si="36"/>
        <v>0.23850730124391561</v>
      </c>
      <c r="P193" s="8">
        <f t="shared" si="37"/>
        <v>1</v>
      </c>
      <c r="Q193" s="8" t="str">
        <f>VLOOKUP(L193,Gender!$C$3:$D$454,2,FALSE)</f>
        <v>M</v>
      </c>
      <c r="R193" s="8">
        <f t="shared" si="38"/>
        <v>2</v>
      </c>
      <c r="S193" s="8" t="str">
        <f t="shared" si="39"/>
        <v/>
      </c>
    </row>
    <row r="194" spans="3:19" x14ac:dyDescent="0.25">
      <c r="C194">
        <v>181</v>
      </c>
      <c r="D194">
        <v>2</v>
      </c>
      <c r="E194">
        <v>1</v>
      </c>
      <c r="F194" s="8">
        <f t="shared" si="33"/>
        <v>0.26176311519740403</v>
      </c>
      <c r="H194" s="8" t="str">
        <f>VLOOKUP(C194,Gender!$C$3:$D$454,2,FALSE)</f>
        <v>M</v>
      </c>
      <c r="I194" s="8">
        <f t="shared" si="34"/>
        <v>1</v>
      </c>
      <c r="J194" s="8" t="str">
        <f t="shared" si="35"/>
        <v/>
      </c>
      <c r="L194">
        <v>230</v>
      </c>
      <c r="M194">
        <v>38</v>
      </c>
      <c r="N194">
        <v>5</v>
      </c>
      <c r="O194" s="8" t="str">
        <f t="shared" si="36"/>
        <v/>
      </c>
      <c r="P194" s="8" t="str">
        <f t="shared" si="37"/>
        <v/>
      </c>
      <c r="Q194" s="8" t="str">
        <f>VLOOKUP(L194,Gender!$C$3:$D$454,2,FALSE)</f>
        <v>M</v>
      </c>
      <c r="R194" s="8" t="str">
        <f t="shared" si="38"/>
        <v/>
      </c>
      <c r="S194" s="8" t="str">
        <f t="shared" si="39"/>
        <v/>
      </c>
    </row>
    <row r="195" spans="3:19" x14ac:dyDescent="0.25">
      <c r="C195">
        <v>182</v>
      </c>
      <c r="D195">
        <v>1</v>
      </c>
      <c r="E195">
        <v>1</v>
      </c>
      <c r="F195" s="8">
        <f t="shared" si="33"/>
        <v>0.23850730124391561</v>
      </c>
      <c r="H195" s="8" t="str">
        <f>VLOOKUP(C195,Gender!$C$3:$D$454,2,FALSE)</f>
        <v>F</v>
      </c>
      <c r="I195" s="8" t="str">
        <f t="shared" si="34"/>
        <v/>
      </c>
      <c r="J195" s="8">
        <f t="shared" si="35"/>
        <v>1</v>
      </c>
      <c r="L195">
        <v>232</v>
      </c>
      <c r="M195">
        <v>46</v>
      </c>
      <c r="N195">
        <v>2</v>
      </c>
      <c r="O195" s="8">
        <f t="shared" si="36"/>
        <v>1981.2850189291507</v>
      </c>
      <c r="P195" s="8">
        <f t="shared" si="37"/>
        <v>46</v>
      </c>
      <c r="Q195" s="8" t="str">
        <f>VLOOKUP(L195,Gender!$C$3:$D$454,2,FALSE)</f>
        <v>M</v>
      </c>
      <c r="R195" s="8">
        <f t="shared" si="38"/>
        <v>2</v>
      </c>
      <c r="S195" s="8" t="str">
        <f t="shared" si="39"/>
        <v/>
      </c>
    </row>
    <row r="196" spans="3:19" x14ac:dyDescent="0.25">
      <c r="C196">
        <v>183</v>
      </c>
      <c r="D196">
        <v>2</v>
      </c>
      <c r="E196">
        <v>1</v>
      </c>
      <c r="F196" s="8">
        <f t="shared" si="33"/>
        <v>0.26176311519740403</v>
      </c>
      <c r="H196" s="8" t="str">
        <f>VLOOKUP(C196,Gender!$C$3:$D$454,2,FALSE)</f>
        <v>F</v>
      </c>
      <c r="I196" s="8" t="str">
        <f t="shared" si="34"/>
        <v/>
      </c>
      <c r="J196" s="8">
        <f t="shared" si="35"/>
        <v>1</v>
      </c>
      <c r="L196">
        <v>233</v>
      </c>
      <c r="M196">
        <v>47</v>
      </c>
      <c r="N196">
        <v>3</v>
      </c>
      <c r="O196" s="8" t="str">
        <f t="shared" si="36"/>
        <v/>
      </c>
      <c r="P196" s="8" t="str">
        <f t="shared" si="37"/>
        <v/>
      </c>
      <c r="Q196" s="8" t="str">
        <f>VLOOKUP(L196,Gender!$C$3:$D$454,2,FALSE)</f>
        <v>F</v>
      </c>
      <c r="R196" s="8" t="str">
        <f t="shared" si="38"/>
        <v/>
      </c>
      <c r="S196" s="8" t="str">
        <f t="shared" si="39"/>
        <v/>
      </c>
    </row>
    <row r="197" spans="3:19" x14ac:dyDescent="0.25">
      <c r="C197">
        <v>184</v>
      </c>
      <c r="D197">
        <v>3</v>
      </c>
      <c r="E197">
        <v>1</v>
      </c>
      <c r="F197" s="8">
        <f t="shared" si="33"/>
        <v>2.2850189291508922</v>
      </c>
      <c r="H197" s="8" t="str">
        <f>VLOOKUP(C197,Gender!$C$3:$D$454,2,FALSE)</f>
        <v>M</v>
      </c>
      <c r="I197" s="8">
        <f t="shared" si="34"/>
        <v>1</v>
      </c>
      <c r="J197" s="8" t="str">
        <f t="shared" si="35"/>
        <v/>
      </c>
      <c r="L197">
        <v>234</v>
      </c>
      <c r="M197">
        <v>38</v>
      </c>
      <c r="N197">
        <v>2</v>
      </c>
      <c r="O197" s="8">
        <f t="shared" si="36"/>
        <v>1333.0989724175229</v>
      </c>
      <c r="P197" s="8">
        <f t="shared" si="37"/>
        <v>38</v>
      </c>
      <c r="Q197" s="8" t="str">
        <f>VLOOKUP(L197,Gender!$C$3:$D$454,2,FALSE)</f>
        <v>M</v>
      </c>
      <c r="R197" s="8">
        <f t="shared" si="38"/>
        <v>2</v>
      </c>
      <c r="S197" s="8" t="str">
        <f t="shared" si="39"/>
        <v/>
      </c>
    </row>
    <row r="198" spans="3:19" x14ac:dyDescent="0.25">
      <c r="C198">
        <v>185</v>
      </c>
      <c r="D198">
        <v>3</v>
      </c>
      <c r="E198">
        <v>1</v>
      </c>
      <c r="F198" s="8">
        <f t="shared" si="33"/>
        <v>2.2850189291508922</v>
      </c>
      <c r="H198" s="8" t="str">
        <f>VLOOKUP(C198,Gender!$C$3:$D$454,2,FALSE)</f>
        <v>F</v>
      </c>
      <c r="I198" s="8" t="str">
        <f t="shared" si="34"/>
        <v/>
      </c>
      <c r="J198" s="8">
        <f t="shared" si="35"/>
        <v>1</v>
      </c>
      <c r="L198">
        <v>235</v>
      </c>
      <c r="M198">
        <v>22</v>
      </c>
      <c r="N198">
        <v>3</v>
      </c>
      <c r="O198" s="8" t="str">
        <f t="shared" si="36"/>
        <v/>
      </c>
      <c r="P198" s="8" t="str">
        <f t="shared" si="37"/>
        <v/>
      </c>
      <c r="Q198" s="8" t="str">
        <f>VLOOKUP(L198,Gender!$C$3:$D$454,2,FALSE)</f>
        <v>F</v>
      </c>
      <c r="R198" s="8" t="str">
        <f t="shared" si="38"/>
        <v/>
      </c>
      <c r="S198" s="8" t="str">
        <f t="shared" si="39"/>
        <v/>
      </c>
    </row>
    <row r="199" spans="3:19" x14ac:dyDescent="0.25">
      <c r="C199">
        <v>186</v>
      </c>
      <c r="D199">
        <v>1</v>
      </c>
      <c r="E199">
        <v>1</v>
      </c>
      <c r="F199" s="8">
        <f t="shared" si="33"/>
        <v>0.23850730124391561</v>
      </c>
      <c r="H199" s="8" t="str">
        <f>VLOOKUP(C199,Gender!$C$3:$D$454,2,FALSE)</f>
        <v>M</v>
      </c>
      <c r="I199" s="8">
        <f t="shared" si="34"/>
        <v>1</v>
      </c>
      <c r="J199" s="8" t="str">
        <f t="shared" si="35"/>
        <v/>
      </c>
      <c r="L199">
        <v>236</v>
      </c>
      <c r="M199">
        <v>1</v>
      </c>
      <c r="N199">
        <v>2</v>
      </c>
      <c r="O199" s="8">
        <f t="shared" si="36"/>
        <v>0.23850730124391561</v>
      </c>
      <c r="P199" s="8">
        <f t="shared" si="37"/>
        <v>1</v>
      </c>
      <c r="Q199" s="8" t="str">
        <f>VLOOKUP(L199,Gender!$C$3:$D$454,2,FALSE)</f>
        <v>M</v>
      </c>
      <c r="R199" s="8">
        <f t="shared" si="38"/>
        <v>2</v>
      </c>
      <c r="S199" s="8" t="str">
        <f t="shared" si="39"/>
        <v/>
      </c>
    </row>
    <row r="200" spans="3:19" x14ac:dyDescent="0.25">
      <c r="C200">
        <v>187</v>
      </c>
      <c r="D200">
        <v>1</v>
      </c>
      <c r="E200">
        <v>2</v>
      </c>
      <c r="F200" s="8" t="str">
        <f t="shared" si="33"/>
        <v/>
      </c>
      <c r="H200" s="8" t="str">
        <f>VLOOKUP(C200,Gender!$C$3:$D$454,2,FALSE)</f>
        <v>M</v>
      </c>
      <c r="I200" s="8" t="str">
        <f t="shared" si="34"/>
        <v/>
      </c>
      <c r="J200" s="8" t="str">
        <f t="shared" si="35"/>
        <v/>
      </c>
      <c r="L200">
        <v>237</v>
      </c>
      <c r="M200">
        <v>19</v>
      </c>
      <c r="N200">
        <v>2</v>
      </c>
      <c r="O200" s="8">
        <f t="shared" si="36"/>
        <v>306.65711195240675</v>
      </c>
      <c r="P200" s="8">
        <f t="shared" si="37"/>
        <v>19</v>
      </c>
      <c r="Q200" s="8" t="str">
        <f>VLOOKUP(L200,Gender!$C$3:$D$454,2,FALSE)</f>
        <v>F</v>
      </c>
      <c r="R200" s="8" t="str">
        <f t="shared" si="38"/>
        <v/>
      </c>
      <c r="S200" s="8">
        <f t="shared" si="39"/>
        <v>2</v>
      </c>
    </row>
    <row r="201" spans="3:19" x14ac:dyDescent="0.25">
      <c r="C201">
        <v>188</v>
      </c>
      <c r="D201">
        <v>1</v>
      </c>
      <c r="E201">
        <v>2</v>
      </c>
      <c r="F201" s="8" t="str">
        <f t="shared" si="33"/>
        <v/>
      </c>
      <c r="H201" s="8" t="str">
        <f>VLOOKUP(C201,Gender!$C$3:$D$454,2,FALSE)</f>
        <v>M</v>
      </c>
      <c r="I201" s="8" t="str">
        <f t="shared" si="34"/>
        <v/>
      </c>
      <c r="J201" s="8" t="str">
        <f t="shared" si="35"/>
        <v/>
      </c>
      <c r="L201">
        <v>238</v>
      </c>
      <c r="M201">
        <v>26</v>
      </c>
      <c r="N201">
        <v>5</v>
      </c>
      <c r="O201" s="8" t="str">
        <f t="shared" si="36"/>
        <v/>
      </c>
      <c r="P201" s="8" t="str">
        <f t="shared" si="37"/>
        <v/>
      </c>
      <c r="Q201" s="8" t="str">
        <f>VLOOKUP(L201,Gender!$C$3:$D$454,2,FALSE)</f>
        <v>F</v>
      </c>
      <c r="R201" s="8" t="str">
        <f t="shared" si="38"/>
        <v/>
      </c>
      <c r="S201" s="8" t="str">
        <f t="shared" si="39"/>
        <v/>
      </c>
    </row>
    <row r="202" spans="3:19" x14ac:dyDescent="0.25">
      <c r="C202">
        <v>189</v>
      </c>
      <c r="D202">
        <v>1</v>
      </c>
      <c r="E202">
        <v>1</v>
      </c>
      <c r="F202" s="8">
        <f t="shared" si="33"/>
        <v>0.23850730124391561</v>
      </c>
      <c r="H202" s="8" t="str">
        <f>VLOOKUP(C202,Gender!$C$3:$D$454,2,FALSE)</f>
        <v>M</v>
      </c>
      <c r="I202" s="8">
        <f t="shared" si="34"/>
        <v>1</v>
      </c>
      <c r="J202" s="8" t="str">
        <f t="shared" si="35"/>
        <v/>
      </c>
      <c r="L202">
        <v>240</v>
      </c>
      <c r="M202">
        <v>27</v>
      </c>
      <c r="N202">
        <v>5</v>
      </c>
      <c r="O202" s="8" t="str">
        <f t="shared" si="36"/>
        <v/>
      </c>
      <c r="P202" s="8" t="str">
        <f t="shared" si="37"/>
        <v/>
      </c>
      <c r="Q202" s="8" t="str">
        <f>VLOOKUP(L202,Gender!$C$3:$D$454,2,FALSE)</f>
        <v>F</v>
      </c>
      <c r="R202" s="8" t="str">
        <f t="shared" si="38"/>
        <v/>
      </c>
      <c r="S202" s="8" t="str">
        <f t="shared" si="39"/>
        <v/>
      </c>
    </row>
    <row r="203" spans="3:19" x14ac:dyDescent="0.25">
      <c r="C203">
        <v>190</v>
      </c>
      <c r="D203">
        <v>1</v>
      </c>
      <c r="E203">
        <v>1</v>
      </c>
      <c r="F203" s="8">
        <f t="shared" si="33"/>
        <v>0.23850730124391561</v>
      </c>
      <c r="H203" s="8" t="str">
        <f>VLOOKUP(C203,Gender!$C$3:$D$454,2,FALSE)</f>
        <v>M</v>
      </c>
      <c r="I203" s="8">
        <f t="shared" si="34"/>
        <v>1</v>
      </c>
      <c r="J203" s="8" t="str">
        <f t="shared" si="35"/>
        <v/>
      </c>
      <c r="L203">
        <v>241</v>
      </c>
      <c r="M203">
        <v>22</v>
      </c>
      <c r="N203">
        <v>2</v>
      </c>
      <c r="O203" s="8">
        <f t="shared" si="36"/>
        <v>420.7268793942672</v>
      </c>
      <c r="P203" s="8">
        <f t="shared" si="37"/>
        <v>22</v>
      </c>
      <c r="Q203" s="8" t="str">
        <f>VLOOKUP(L203,Gender!$C$3:$D$454,2,FALSE)</f>
        <v>M</v>
      </c>
      <c r="R203" s="8">
        <f t="shared" si="38"/>
        <v>2</v>
      </c>
      <c r="S203" s="8" t="str">
        <f t="shared" si="39"/>
        <v/>
      </c>
    </row>
    <row r="204" spans="3:19" x14ac:dyDescent="0.25">
      <c r="C204">
        <v>191</v>
      </c>
      <c r="D204">
        <v>1</v>
      </c>
      <c r="E204">
        <v>1</v>
      </c>
      <c r="F204" s="8">
        <f t="shared" si="33"/>
        <v>0.23850730124391561</v>
      </c>
      <c r="H204" s="8" t="str">
        <f>VLOOKUP(C204,Gender!$C$3:$D$454,2,FALSE)</f>
        <v>M</v>
      </c>
      <c r="I204" s="8">
        <f t="shared" si="34"/>
        <v>1</v>
      </c>
      <c r="J204" s="8" t="str">
        <f t="shared" si="35"/>
        <v/>
      </c>
      <c r="L204">
        <v>242</v>
      </c>
      <c r="M204">
        <v>77</v>
      </c>
      <c r="N204">
        <v>5</v>
      </c>
      <c r="O204" s="8" t="str">
        <f t="shared" si="36"/>
        <v/>
      </c>
      <c r="P204" s="8" t="str">
        <f t="shared" si="37"/>
        <v/>
      </c>
      <c r="Q204" s="8" t="str">
        <f>VLOOKUP(L204,Gender!$C$3:$D$454,2,FALSE)</f>
        <v>M</v>
      </c>
      <c r="R204" s="8" t="str">
        <f t="shared" si="38"/>
        <v/>
      </c>
      <c r="S204" s="8" t="str">
        <f t="shared" si="39"/>
        <v/>
      </c>
    </row>
    <row r="205" spans="3:19" x14ac:dyDescent="0.25">
      <c r="C205">
        <v>192</v>
      </c>
      <c r="D205">
        <v>2</v>
      </c>
      <c r="E205">
        <v>1</v>
      </c>
      <c r="F205" s="8">
        <f t="shared" si="33"/>
        <v>0.26176311519740403</v>
      </c>
      <c r="H205" s="8" t="str">
        <f>VLOOKUP(C205,Gender!$C$3:$D$454,2,FALSE)</f>
        <v>M</v>
      </c>
      <c r="I205" s="8">
        <f t="shared" si="34"/>
        <v>1</v>
      </c>
      <c r="J205" s="8" t="str">
        <f t="shared" si="35"/>
        <v/>
      </c>
      <c r="L205">
        <v>243</v>
      </c>
      <c r="M205">
        <v>1</v>
      </c>
      <c r="N205">
        <v>2</v>
      </c>
      <c r="O205" s="8">
        <f t="shared" si="36"/>
        <v>0.23850730124391561</v>
      </c>
      <c r="P205" s="8">
        <f t="shared" si="37"/>
        <v>1</v>
      </c>
      <c r="Q205" s="8" t="str">
        <f>VLOOKUP(L205,Gender!$C$3:$D$454,2,FALSE)</f>
        <v>M</v>
      </c>
      <c r="R205" s="8">
        <f t="shared" si="38"/>
        <v>2</v>
      </c>
      <c r="S205" s="8" t="str">
        <f t="shared" si="39"/>
        <v/>
      </c>
    </row>
    <row r="206" spans="3:19" x14ac:dyDescent="0.25">
      <c r="C206">
        <v>193</v>
      </c>
      <c r="D206">
        <v>1</v>
      </c>
      <c r="E206">
        <v>1</v>
      </c>
      <c r="F206" s="8">
        <f t="shared" ref="F206:F269" si="44">IF(E206=1,(D206-$D$2)*(D206-$D$2),"")</f>
        <v>0.23850730124391561</v>
      </c>
      <c r="H206" s="8" t="str">
        <f>VLOOKUP(C206,Gender!$C$3:$D$454,2,FALSE)</f>
        <v>M</v>
      </c>
      <c r="I206" s="8">
        <f t="shared" ref="I206:I269" si="45">IF(AND(E206=1,H206="M"),1,"")</f>
        <v>1</v>
      </c>
      <c r="J206" s="8" t="str">
        <f t="shared" ref="J206:J269" si="46">IF(AND(E206=1,H206="F"),1,"")</f>
        <v/>
      </c>
      <c r="L206">
        <v>246</v>
      </c>
      <c r="M206">
        <v>1</v>
      </c>
      <c r="N206">
        <v>3</v>
      </c>
      <c r="O206" s="8" t="str">
        <f t="shared" ref="O206:O247" si="47">IF(N206=2,(M206-$D$2)*(M206-$D$2),"")</f>
        <v/>
      </c>
      <c r="P206" s="8" t="str">
        <f t="shared" ref="P206:P247" si="48">IF(N206=2,M206,"")</f>
        <v/>
      </c>
      <c r="Q206" s="8" t="str">
        <f>VLOOKUP(L206,Gender!$C$3:$D$454,2,FALSE)</f>
        <v>M</v>
      </c>
      <c r="R206" s="8" t="str">
        <f t="shared" ref="R206:R247" si="49">IF(AND(N206=2,Q206="M"),2,"")</f>
        <v/>
      </c>
      <c r="S206" s="8" t="str">
        <f t="shared" ref="S206:S247" si="50">IF(AND(N206=2,Q206="F"),2,"")</f>
        <v/>
      </c>
    </row>
    <row r="207" spans="3:19" x14ac:dyDescent="0.25">
      <c r="C207">
        <v>194</v>
      </c>
      <c r="D207">
        <v>2</v>
      </c>
      <c r="E207">
        <v>1</v>
      </c>
      <c r="F207" s="8">
        <f t="shared" si="44"/>
        <v>0.26176311519740403</v>
      </c>
      <c r="H207" s="8" t="str">
        <f>VLOOKUP(C207,Gender!$C$3:$D$454,2,FALSE)</f>
        <v>M</v>
      </c>
      <c r="I207" s="8">
        <f t="shared" si="45"/>
        <v>1</v>
      </c>
      <c r="J207" s="8" t="str">
        <f t="shared" si="46"/>
        <v/>
      </c>
      <c r="L207">
        <v>247</v>
      </c>
      <c r="M207">
        <v>84</v>
      </c>
      <c r="N207">
        <v>2</v>
      </c>
      <c r="O207" s="8">
        <f t="shared" si="47"/>
        <v>6808.1687398593831</v>
      </c>
      <c r="P207" s="8">
        <f t="shared" si="48"/>
        <v>84</v>
      </c>
      <c r="Q207" s="8" t="str">
        <f>VLOOKUP(L207,Gender!$C$3:$D$454,2,FALSE)</f>
        <v>M</v>
      </c>
      <c r="R207" s="8">
        <f t="shared" si="49"/>
        <v>2</v>
      </c>
      <c r="S207" s="8" t="str">
        <f t="shared" si="50"/>
        <v/>
      </c>
    </row>
    <row r="208" spans="3:19" x14ac:dyDescent="0.25">
      <c r="C208">
        <v>195</v>
      </c>
      <c r="D208">
        <v>1</v>
      </c>
      <c r="E208">
        <v>2</v>
      </c>
      <c r="F208" s="8" t="str">
        <f t="shared" si="44"/>
        <v/>
      </c>
      <c r="H208" s="8" t="str">
        <f>VLOOKUP(C208,Gender!$C$3:$D$454,2,FALSE)</f>
        <v>M</v>
      </c>
      <c r="I208" s="8" t="str">
        <f t="shared" si="45"/>
        <v/>
      </c>
      <c r="J208" s="8" t="str">
        <f t="shared" si="46"/>
        <v/>
      </c>
      <c r="L208">
        <v>248</v>
      </c>
      <c r="M208">
        <v>1</v>
      </c>
      <c r="N208">
        <v>2</v>
      </c>
      <c r="O208" s="8">
        <f t="shared" si="47"/>
        <v>0.23850730124391561</v>
      </c>
      <c r="P208" s="8">
        <f t="shared" si="48"/>
        <v>1</v>
      </c>
      <c r="Q208" s="8" t="str">
        <f>VLOOKUP(L208,Gender!$C$3:$D$454,2,FALSE)</f>
        <v>M</v>
      </c>
      <c r="R208" s="8">
        <f t="shared" si="49"/>
        <v>2</v>
      </c>
      <c r="S208" s="8" t="str">
        <f t="shared" si="50"/>
        <v/>
      </c>
    </row>
    <row r="209" spans="3:19" x14ac:dyDescent="0.25">
      <c r="C209">
        <v>196</v>
      </c>
      <c r="D209">
        <v>1</v>
      </c>
      <c r="E209">
        <v>1</v>
      </c>
      <c r="F209" s="8">
        <f t="shared" si="44"/>
        <v>0.23850730124391561</v>
      </c>
      <c r="H209" s="8" t="str">
        <f>VLOOKUP(C209,Gender!$C$3:$D$454,2,FALSE)</f>
        <v>M</v>
      </c>
      <c r="I209" s="8">
        <f t="shared" si="45"/>
        <v>1</v>
      </c>
      <c r="J209" s="8" t="str">
        <f t="shared" si="46"/>
        <v/>
      </c>
      <c r="L209">
        <v>250</v>
      </c>
      <c r="M209">
        <v>29</v>
      </c>
      <c r="N209">
        <v>3</v>
      </c>
      <c r="O209" s="8" t="str">
        <f t="shared" si="47"/>
        <v/>
      </c>
      <c r="P209" s="8" t="str">
        <f t="shared" si="48"/>
        <v/>
      </c>
      <c r="Q209" s="8" t="str">
        <f>VLOOKUP(L209,Gender!$C$3:$D$454,2,FALSE)</f>
        <v>M</v>
      </c>
      <c r="R209" s="8" t="str">
        <f t="shared" si="49"/>
        <v/>
      </c>
      <c r="S209" s="8" t="str">
        <f t="shared" si="50"/>
        <v/>
      </c>
    </row>
    <row r="210" spans="3:19" x14ac:dyDescent="0.25">
      <c r="C210">
        <v>197</v>
      </c>
      <c r="D210">
        <v>1</v>
      </c>
      <c r="E210">
        <v>2</v>
      </c>
      <c r="F210" s="8" t="str">
        <f t="shared" si="44"/>
        <v/>
      </c>
      <c r="H210" s="8" t="str">
        <f>VLOOKUP(C210,Gender!$C$3:$D$454,2,FALSE)</f>
        <v>M</v>
      </c>
      <c r="I210" s="8" t="str">
        <f t="shared" si="45"/>
        <v/>
      </c>
      <c r="J210" s="8" t="str">
        <f t="shared" si="46"/>
        <v/>
      </c>
      <c r="L210">
        <v>253</v>
      </c>
      <c r="M210">
        <v>60</v>
      </c>
      <c r="N210">
        <v>4</v>
      </c>
      <c r="O210" s="8" t="str">
        <f t="shared" si="47"/>
        <v/>
      </c>
      <c r="P210" s="8" t="str">
        <f t="shared" si="48"/>
        <v/>
      </c>
      <c r="Q210" s="8" t="str">
        <f>VLOOKUP(L210,Gender!$C$3:$D$454,2,FALSE)</f>
        <v>M</v>
      </c>
      <c r="R210" s="8" t="str">
        <f t="shared" si="49"/>
        <v/>
      </c>
      <c r="S210" s="8" t="str">
        <f t="shared" si="50"/>
        <v/>
      </c>
    </row>
    <row r="211" spans="3:19" x14ac:dyDescent="0.25">
      <c r="C211">
        <v>198</v>
      </c>
      <c r="D211">
        <v>1</v>
      </c>
      <c r="E211">
        <v>1</v>
      </c>
      <c r="F211" s="8">
        <f t="shared" si="44"/>
        <v>0.23850730124391561</v>
      </c>
      <c r="H211" s="8" t="str">
        <f>VLOOKUP(C211,Gender!$C$3:$D$454,2,FALSE)</f>
        <v>M</v>
      </c>
      <c r="I211" s="8">
        <f t="shared" si="45"/>
        <v>1</v>
      </c>
      <c r="J211" s="8" t="str">
        <f t="shared" si="46"/>
        <v/>
      </c>
      <c r="L211">
        <v>254</v>
      </c>
      <c r="M211">
        <v>6</v>
      </c>
      <c r="N211">
        <v>2</v>
      </c>
      <c r="O211" s="8">
        <f t="shared" si="47"/>
        <v>20.354786371011357</v>
      </c>
      <c r="P211" s="8">
        <f t="shared" si="48"/>
        <v>6</v>
      </c>
      <c r="Q211" s="8" t="str">
        <f>VLOOKUP(L211,Gender!$C$3:$D$454,2,FALSE)</f>
        <v>F</v>
      </c>
      <c r="R211" s="8" t="str">
        <f t="shared" si="49"/>
        <v/>
      </c>
      <c r="S211" s="8">
        <f t="shared" si="50"/>
        <v>2</v>
      </c>
    </row>
    <row r="212" spans="3:19" x14ac:dyDescent="0.25">
      <c r="C212">
        <v>199</v>
      </c>
      <c r="D212">
        <v>2</v>
      </c>
      <c r="E212">
        <v>1</v>
      </c>
      <c r="F212" s="8">
        <f t="shared" si="44"/>
        <v>0.26176311519740403</v>
      </c>
      <c r="H212" s="8" t="str">
        <f>VLOOKUP(C212,Gender!$C$3:$D$454,2,FALSE)</f>
        <v>F</v>
      </c>
      <c r="I212" s="8" t="str">
        <f t="shared" si="45"/>
        <v/>
      </c>
      <c r="J212" s="8">
        <f t="shared" si="46"/>
        <v>1</v>
      </c>
      <c r="L212">
        <v>255</v>
      </c>
      <c r="M212">
        <v>13</v>
      </c>
      <c r="N212">
        <v>4</v>
      </c>
      <c r="O212" s="8" t="str">
        <f t="shared" si="47"/>
        <v/>
      </c>
      <c r="P212" s="8" t="str">
        <f t="shared" si="48"/>
        <v/>
      </c>
      <c r="Q212" s="8" t="str">
        <f>VLOOKUP(L212,Gender!$C$3:$D$454,2,FALSE)</f>
        <v>M</v>
      </c>
      <c r="R212" s="8" t="str">
        <f t="shared" si="49"/>
        <v/>
      </c>
      <c r="S212" s="8" t="str">
        <f t="shared" si="50"/>
        <v/>
      </c>
    </row>
    <row r="213" spans="3:19" x14ac:dyDescent="0.25">
      <c r="C213">
        <v>200</v>
      </c>
      <c r="D213">
        <v>1</v>
      </c>
      <c r="E213">
        <v>2</v>
      </c>
      <c r="F213" s="8" t="str">
        <f t="shared" si="44"/>
        <v/>
      </c>
      <c r="H213" s="8" t="str">
        <f>VLOOKUP(C213,Gender!$C$3:$D$454,2,FALSE)</f>
        <v>F</v>
      </c>
      <c r="I213" s="8" t="str">
        <f t="shared" si="45"/>
        <v/>
      </c>
      <c r="J213" s="8" t="str">
        <f t="shared" si="46"/>
        <v/>
      </c>
      <c r="L213">
        <v>256</v>
      </c>
      <c r="M213">
        <v>30</v>
      </c>
      <c r="N213">
        <v>2</v>
      </c>
      <c r="O213" s="8">
        <f t="shared" si="47"/>
        <v>812.91292590589512</v>
      </c>
      <c r="P213" s="8">
        <f t="shared" si="48"/>
        <v>30</v>
      </c>
      <c r="Q213" s="8" t="str">
        <f>VLOOKUP(L213,Gender!$C$3:$D$454,2,FALSE)</f>
        <v>F</v>
      </c>
      <c r="R213" s="8" t="str">
        <f t="shared" si="49"/>
        <v/>
      </c>
      <c r="S213" s="8">
        <f t="shared" si="50"/>
        <v>2</v>
      </c>
    </row>
    <row r="214" spans="3:19" x14ac:dyDescent="0.25">
      <c r="C214">
        <v>201</v>
      </c>
      <c r="D214">
        <v>1</v>
      </c>
      <c r="E214">
        <v>1</v>
      </c>
      <c r="F214" s="8">
        <f t="shared" si="44"/>
        <v>0.23850730124391561</v>
      </c>
      <c r="H214" s="8" t="str">
        <f>VLOOKUP(C214,Gender!$C$3:$D$454,2,FALSE)</f>
        <v>F</v>
      </c>
      <c r="I214" s="8" t="str">
        <f t="shared" si="45"/>
        <v/>
      </c>
      <c r="J214" s="8">
        <f t="shared" si="46"/>
        <v>1</v>
      </c>
      <c r="L214">
        <v>258</v>
      </c>
      <c r="M214">
        <v>55</v>
      </c>
      <c r="N214">
        <v>2</v>
      </c>
      <c r="O214" s="8">
        <f t="shared" si="47"/>
        <v>2863.4943212547319</v>
      </c>
      <c r="P214" s="8">
        <f t="shared" si="48"/>
        <v>55</v>
      </c>
      <c r="Q214" s="8" t="str">
        <f>VLOOKUP(L214,Gender!$C$3:$D$454,2,FALSE)</f>
        <v>F</v>
      </c>
      <c r="R214" s="8" t="str">
        <f t="shared" si="49"/>
        <v/>
      </c>
      <c r="S214" s="8">
        <f t="shared" si="50"/>
        <v>2</v>
      </c>
    </row>
    <row r="215" spans="3:19" x14ac:dyDescent="0.25">
      <c r="C215">
        <v>202</v>
      </c>
      <c r="D215">
        <v>3</v>
      </c>
      <c r="E215">
        <v>1</v>
      </c>
      <c r="F215" s="8">
        <f t="shared" si="44"/>
        <v>2.2850189291508922</v>
      </c>
      <c r="H215" s="8" t="str">
        <f>VLOOKUP(C215,Gender!$C$3:$D$454,2,FALSE)</f>
        <v>F</v>
      </c>
      <c r="I215" s="8" t="str">
        <f t="shared" si="45"/>
        <v/>
      </c>
      <c r="J215" s="8">
        <f t="shared" si="46"/>
        <v>1</v>
      </c>
      <c r="L215">
        <v>259</v>
      </c>
      <c r="M215">
        <v>48</v>
      </c>
      <c r="N215">
        <v>5</v>
      </c>
      <c r="O215" s="8" t="str">
        <f t="shared" si="47"/>
        <v/>
      </c>
      <c r="P215" s="8" t="str">
        <f t="shared" si="48"/>
        <v/>
      </c>
      <c r="Q215" s="8" t="str">
        <f>VLOOKUP(L215,Gender!$C$3:$D$454,2,FALSE)</f>
        <v>M</v>
      </c>
      <c r="R215" s="8" t="str">
        <f t="shared" si="49"/>
        <v/>
      </c>
      <c r="S215" s="8" t="str">
        <f t="shared" si="50"/>
        <v/>
      </c>
    </row>
    <row r="216" spans="3:19" x14ac:dyDescent="0.25">
      <c r="C216">
        <v>203</v>
      </c>
      <c r="D216">
        <v>1</v>
      </c>
      <c r="E216">
        <v>1</v>
      </c>
      <c r="F216" s="8">
        <f t="shared" si="44"/>
        <v>0.23850730124391561</v>
      </c>
      <c r="H216" s="8" t="str">
        <f>VLOOKUP(C216,Gender!$C$3:$D$454,2,FALSE)</f>
        <v>M</v>
      </c>
      <c r="I216" s="8">
        <f t="shared" si="45"/>
        <v>1</v>
      </c>
      <c r="J216" s="8" t="str">
        <f t="shared" si="46"/>
        <v/>
      </c>
      <c r="L216">
        <v>260</v>
      </c>
      <c r="M216">
        <v>75</v>
      </c>
      <c r="N216">
        <v>2</v>
      </c>
      <c r="O216" s="8">
        <f t="shared" si="47"/>
        <v>5403.959437533802</v>
      </c>
      <c r="P216" s="8">
        <f t="shared" si="48"/>
        <v>75</v>
      </c>
      <c r="Q216" s="8" t="str">
        <f>VLOOKUP(L216,Gender!$C$3:$D$454,2,FALSE)</f>
        <v>F</v>
      </c>
      <c r="R216" s="8" t="str">
        <f t="shared" si="49"/>
        <v/>
      </c>
      <c r="S216" s="8">
        <f t="shared" si="50"/>
        <v>2</v>
      </c>
    </row>
    <row r="217" spans="3:19" x14ac:dyDescent="0.25">
      <c r="C217">
        <v>204</v>
      </c>
      <c r="D217">
        <v>1</v>
      </c>
      <c r="E217">
        <v>1</v>
      </c>
      <c r="F217" s="8">
        <f t="shared" si="44"/>
        <v>0.23850730124391561</v>
      </c>
      <c r="H217" s="8" t="str">
        <f>VLOOKUP(C217,Gender!$C$3:$D$454,2,FALSE)</f>
        <v>M</v>
      </c>
      <c r="I217" s="8">
        <f t="shared" si="45"/>
        <v>1</v>
      </c>
      <c r="J217" s="8" t="str">
        <f t="shared" si="46"/>
        <v/>
      </c>
      <c r="L217">
        <v>261</v>
      </c>
      <c r="M217">
        <v>27</v>
      </c>
      <c r="N217">
        <v>3</v>
      </c>
      <c r="O217" s="8" t="str">
        <f t="shared" si="47"/>
        <v/>
      </c>
      <c r="P217" s="8" t="str">
        <f t="shared" si="48"/>
        <v/>
      </c>
      <c r="Q217" s="8" t="str">
        <f>VLOOKUP(L217,Gender!$C$3:$D$454,2,FALSE)</f>
        <v>F</v>
      </c>
      <c r="R217" s="8" t="str">
        <f t="shared" si="49"/>
        <v/>
      </c>
      <c r="S217" s="8" t="str">
        <f t="shared" si="50"/>
        <v/>
      </c>
    </row>
    <row r="218" spans="3:19" x14ac:dyDescent="0.25">
      <c r="C218">
        <v>205</v>
      </c>
      <c r="D218">
        <v>1</v>
      </c>
      <c r="E218">
        <v>1</v>
      </c>
      <c r="F218" s="8">
        <f t="shared" si="44"/>
        <v>0.23850730124391561</v>
      </c>
      <c r="H218" s="8" t="str">
        <f>VLOOKUP(C218,Gender!$C$3:$D$454,2,FALSE)</f>
        <v>F</v>
      </c>
      <c r="I218" s="8" t="str">
        <f t="shared" si="45"/>
        <v/>
      </c>
      <c r="J218" s="8">
        <f t="shared" si="46"/>
        <v>1</v>
      </c>
      <c r="L218">
        <v>263</v>
      </c>
      <c r="M218">
        <v>23</v>
      </c>
      <c r="N218">
        <v>2</v>
      </c>
      <c r="O218" s="8">
        <f t="shared" si="47"/>
        <v>462.75013520822068</v>
      </c>
      <c r="P218" s="8">
        <f t="shared" si="48"/>
        <v>23</v>
      </c>
      <c r="Q218" s="8" t="str">
        <f>VLOOKUP(L218,Gender!$C$3:$D$454,2,FALSE)</f>
        <v>F</v>
      </c>
      <c r="R218" s="8" t="str">
        <f t="shared" si="49"/>
        <v/>
      </c>
      <c r="S218" s="8">
        <f t="shared" si="50"/>
        <v>2</v>
      </c>
    </row>
    <row r="219" spans="3:19" x14ac:dyDescent="0.25">
      <c r="C219">
        <v>206</v>
      </c>
      <c r="D219">
        <v>1</v>
      </c>
      <c r="E219">
        <v>1</v>
      </c>
      <c r="F219" s="8">
        <f t="shared" si="44"/>
        <v>0.23850730124391561</v>
      </c>
      <c r="H219" s="8" t="str">
        <f>VLOOKUP(C219,Gender!$C$3:$D$454,2,FALSE)</f>
        <v>M</v>
      </c>
      <c r="I219" s="8">
        <f t="shared" si="45"/>
        <v>1</v>
      </c>
      <c r="J219" s="8" t="str">
        <f t="shared" si="46"/>
        <v/>
      </c>
      <c r="L219">
        <v>264</v>
      </c>
      <c r="M219">
        <v>30</v>
      </c>
      <c r="N219">
        <v>2</v>
      </c>
      <c r="O219" s="8">
        <f t="shared" si="47"/>
        <v>812.91292590589512</v>
      </c>
      <c r="P219" s="8">
        <f t="shared" si="48"/>
        <v>30</v>
      </c>
      <c r="Q219" s="8" t="str">
        <f>VLOOKUP(L219,Gender!$C$3:$D$454,2,FALSE)</f>
        <v>M</v>
      </c>
      <c r="R219" s="8">
        <f t="shared" si="49"/>
        <v>2</v>
      </c>
      <c r="S219" s="8" t="str">
        <f t="shared" si="50"/>
        <v/>
      </c>
    </row>
    <row r="220" spans="3:19" x14ac:dyDescent="0.25">
      <c r="C220">
        <v>207</v>
      </c>
      <c r="D220">
        <v>1</v>
      </c>
      <c r="E220">
        <v>1</v>
      </c>
      <c r="F220" s="8">
        <f t="shared" si="44"/>
        <v>0.23850730124391561</v>
      </c>
      <c r="H220" s="8" t="str">
        <f>VLOOKUP(C220,Gender!$C$3:$D$454,2,FALSE)</f>
        <v>F</v>
      </c>
      <c r="I220" s="8" t="str">
        <f t="shared" si="45"/>
        <v/>
      </c>
      <c r="J220" s="8">
        <f t="shared" si="46"/>
        <v>1</v>
      </c>
      <c r="L220">
        <v>265</v>
      </c>
      <c r="M220">
        <v>67</v>
      </c>
      <c r="N220">
        <v>2</v>
      </c>
      <c r="O220" s="8">
        <f t="shared" si="47"/>
        <v>4291.7733910221741</v>
      </c>
      <c r="P220" s="8">
        <f t="shared" si="48"/>
        <v>67</v>
      </c>
      <c r="Q220" s="8" t="str">
        <f>VLOOKUP(L220,Gender!$C$3:$D$454,2,FALSE)</f>
        <v>M</v>
      </c>
      <c r="R220" s="8">
        <f t="shared" si="49"/>
        <v>2</v>
      </c>
      <c r="S220" s="8" t="str">
        <f t="shared" si="50"/>
        <v/>
      </c>
    </row>
    <row r="221" spans="3:19" x14ac:dyDescent="0.25">
      <c r="C221">
        <v>208</v>
      </c>
      <c r="D221">
        <v>1</v>
      </c>
      <c r="E221">
        <v>2</v>
      </c>
      <c r="F221" s="8" t="str">
        <f t="shared" si="44"/>
        <v/>
      </c>
      <c r="H221" s="8" t="str">
        <f>VLOOKUP(C221,Gender!$C$3:$D$454,2,FALSE)</f>
        <v>M</v>
      </c>
      <c r="I221" s="8" t="str">
        <f t="shared" si="45"/>
        <v/>
      </c>
      <c r="J221" s="8" t="str">
        <f t="shared" si="46"/>
        <v/>
      </c>
      <c r="L221">
        <v>266</v>
      </c>
      <c r="M221">
        <v>13</v>
      </c>
      <c r="N221">
        <v>2</v>
      </c>
      <c r="O221" s="8">
        <f t="shared" si="47"/>
        <v>132.5175770686858</v>
      </c>
      <c r="P221" s="8">
        <f t="shared" si="48"/>
        <v>13</v>
      </c>
      <c r="Q221" s="8" t="str">
        <f>VLOOKUP(L221,Gender!$C$3:$D$454,2,FALSE)</f>
        <v>F</v>
      </c>
      <c r="R221" s="8" t="str">
        <f t="shared" si="49"/>
        <v/>
      </c>
      <c r="S221" s="8">
        <f t="shared" si="50"/>
        <v>2</v>
      </c>
    </row>
    <row r="222" spans="3:19" x14ac:dyDescent="0.25">
      <c r="C222">
        <v>209</v>
      </c>
      <c r="D222">
        <v>1</v>
      </c>
      <c r="E222">
        <v>1</v>
      </c>
      <c r="F222" s="8">
        <f t="shared" si="44"/>
        <v>0.23850730124391561</v>
      </c>
      <c r="H222" s="8" t="str">
        <f>VLOOKUP(C222,Gender!$C$3:$D$454,2,FALSE)</f>
        <v>F</v>
      </c>
      <c r="I222" s="8" t="str">
        <f t="shared" si="45"/>
        <v/>
      </c>
      <c r="J222" s="8">
        <f t="shared" si="46"/>
        <v>1</v>
      </c>
      <c r="L222">
        <v>268</v>
      </c>
      <c r="M222">
        <v>11</v>
      </c>
      <c r="N222">
        <v>3</v>
      </c>
      <c r="O222" s="8" t="str">
        <f t="shared" si="47"/>
        <v/>
      </c>
      <c r="P222" s="8" t="str">
        <f t="shared" si="48"/>
        <v/>
      </c>
      <c r="Q222" s="8" t="str">
        <f>VLOOKUP(L222,Gender!$C$3:$D$454,2,FALSE)</f>
        <v>F</v>
      </c>
      <c r="R222" s="8" t="str">
        <f t="shared" si="49"/>
        <v/>
      </c>
      <c r="S222" s="8" t="str">
        <f t="shared" si="50"/>
        <v/>
      </c>
    </row>
    <row r="223" spans="3:19" x14ac:dyDescent="0.25">
      <c r="C223">
        <v>210</v>
      </c>
      <c r="D223">
        <v>1</v>
      </c>
      <c r="E223">
        <v>1</v>
      </c>
      <c r="F223" s="8">
        <f t="shared" si="44"/>
        <v>0.23850730124391561</v>
      </c>
      <c r="H223" s="8" t="str">
        <f>VLOOKUP(C223,Gender!$C$3:$D$454,2,FALSE)</f>
        <v>M</v>
      </c>
      <c r="I223" s="8">
        <f t="shared" si="45"/>
        <v>1</v>
      </c>
      <c r="J223" s="8" t="str">
        <f t="shared" si="46"/>
        <v/>
      </c>
      <c r="L223">
        <v>270</v>
      </c>
      <c r="M223">
        <v>12</v>
      </c>
      <c r="N223">
        <v>5</v>
      </c>
      <c r="O223" s="8" t="str">
        <f t="shared" si="47"/>
        <v/>
      </c>
      <c r="P223" s="8" t="str">
        <f t="shared" si="48"/>
        <v/>
      </c>
      <c r="Q223" s="8" t="str">
        <f>VLOOKUP(L223,Gender!$C$3:$D$454,2,FALSE)</f>
        <v>M</v>
      </c>
      <c r="R223" s="8" t="str">
        <f t="shared" si="49"/>
        <v/>
      </c>
      <c r="S223" s="8" t="str">
        <f t="shared" si="50"/>
        <v/>
      </c>
    </row>
    <row r="224" spans="3:19" x14ac:dyDescent="0.25">
      <c r="C224">
        <v>211</v>
      </c>
      <c r="D224">
        <v>5</v>
      </c>
      <c r="E224">
        <v>1</v>
      </c>
      <c r="F224" s="8">
        <f t="shared" si="44"/>
        <v>12.331530557057869</v>
      </c>
      <c r="H224" s="8" t="str">
        <f>VLOOKUP(C224,Gender!$C$3:$D$454,2,FALSE)</f>
        <v>M</v>
      </c>
      <c r="I224" s="8">
        <f t="shared" si="45"/>
        <v>1</v>
      </c>
      <c r="J224" s="8" t="str">
        <f t="shared" si="46"/>
        <v/>
      </c>
      <c r="L224">
        <v>271</v>
      </c>
      <c r="M224">
        <v>36</v>
      </c>
      <c r="N224">
        <v>5</v>
      </c>
      <c r="O224" s="8" t="str">
        <f t="shared" si="47"/>
        <v/>
      </c>
      <c r="P224" s="8" t="str">
        <f t="shared" si="48"/>
        <v/>
      </c>
      <c r="Q224" s="8" t="str">
        <f>VLOOKUP(L224,Gender!$C$3:$D$454,2,FALSE)</f>
        <v>M</v>
      </c>
      <c r="R224" s="8" t="str">
        <f t="shared" si="49"/>
        <v/>
      </c>
      <c r="S224" s="8" t="str">
        <f t="shared" si="50"/>
        <v/>
      </c>
    </row>
    <row r="225" spans="3:19" x14ac:dyDescent="0.25">
      <c r="C225">
        <v>212</v>
      </c>
      <c r="D225">
        <v>1</v>
      </c>
      <c r="E225">
        <v>1</v>
      </c>
      <c r="F225" s="8">
        <f t="shared" si="44"/>
        <v>0.23850730124391561</v>
      </c>
      <c r="H225" s="8" t="str">
        <f>VLOOKUP(C225,Gender!$C$3:$D$454,2,FALSE)</f>
        <v>F</v>
      </c>
      <c r="I225" s="8" t="str">
        <f t="shared" si="45"/>
        <v/>
      </c>
      <c r="J225" s="8">
        <f t="shared" si="46"/>
        <v>1</v>
      </c>
      <c r="L225">
        <v>272</v>
      </c>
      <c r="M225">
        <v>84</v>
      </c>
      <c r="N225">
        <v>3</v>
      </c>
      <c r="O225" s="8" t="str">
        <f t="shared" si="47"/>
        <v/>
      </c>
      <c r="P225" s="8" t="str">
        <f t="shared" si="48"/>
        <v/>
      </c>
      <c r="Q225" s="8" t="str">
        <f>VLOOKUP(L225,Gender!$C$3:$D$454,2,FALSE)</f>
        <v>F</v>
      </c>
      <c r="R225" s="8" t="str">
        <f t="shared" si="49"/>
        <v/>
      </c>
      <c r="S225" s="8" t="str">
        <f t="shared" si="50"/>
        <v/>
      </c>
    </row>
    <row r="226" spans="3:19" x14ac:dyDescent="0.25">
      <c r="C226">
        <v>213</v>
      </c>
      <c r="D226">
        <v>1</v>
      </c>
      <c r="E226">
        <v>1</v>
      </c>
      <c r="F226" s="8">
        <f t="shared" si="44"/>
        <v>0.23850730124391561</v>
      </c>
      <c r="H226" s="8" t="str">
        <f>VLOOKUP(C226,Gender!$C$3:$D$454,2,FALSE)</f>
        <v>M</v>
      </c>
      <c r="I226" s="8">
        <f t="shared" si="45"/>
        <v>1</v>
      </c>
      <c r="J226" s="8" t="str">
        <f t="shared" si="46"/>
        <v/>
      </c>
      <c r="L226">
        <v>273</v>
      </c>
      <c r="M226">
        <v>1</v>
      </c>
      <c r="N226">
        <v>2</v>
      </c>
      <c r="O226" s="8">
        <f t="shared" si="47"/>
        <v>0.23850730124391561</v>
      </c>
      <c r="P226" s="8">
        <f t="shared" si="48"/>
        <v>1</v>
      </c>
      <c r="Q226" s="8" t="str">
        <f>VLOOKUP(L226,Gender!$C$3:$D$454,2,FALSE)</f>
        <v>M</v>
      </c>
      <c r="R226" s="8">
        <f t="shared" si="49"/>
        <v>2</v>
      </c>
      <c r="S226" s="8" t="str">
        <f t="shared" si="50"/>
        <v/>
      </c>
    </row>
    <row r="227" spans="3:19" x14ac:dyDescent="0.25">
      <c r="C227">
        <v>214</v>
      </c>
      <c r="D227">
        <v>1</v>
      </c>
      <c r="E227">
        <v>1</v>
      </c>
      <c r="F227" s="8">
        <f t="shared" si="44"/>
        <v>0.23850730124391561</v>
      </c>
      <c r="H227" s="8" t="str">
        <f>VLOOKUP(C227,Gender!$C$3:$D$454,2,FALSE)</f>
        <v>M</v>
      </c>
      <c r="I227" s="8">
        <f t="shared" si="45"/>
        <v>1</v>
      </c>
      <c r="J227" s="8" t="str">
        <f t="shared" si="46"/>
        <v/>
      </c>
      <c r="L227">
        <v>274</v>
      </c>
      <c r="M227">
        <v>25</v>
      </c>
      <c r="N227">
        <v>3</v>
      </c>
      <c r="O227" s="8" t="str">
        <f t="shared" si="47"/>
        <v/>
      </c>
      <c r="P227" s="8" t="str">
        <f t="shared" si="48"/>
        <v/>
      </c>
      <c r="Q227" s="8" t="str">
        <f>VLOOKUP(L227,Gender!$C$3:$D$454,2,FALSE)</f>
        <v>M</v>
      </c>
      <c r="R227" s="8" t="str">
        <f t="shared" si="49"/>
        <v/>
      </c>
      <c r="S227" s="8" t="str">
        <f t="shared" si="50"/>
        <v/>
      </c>
    </row>
    <row r="228" spans="3:19" x14ac:dyDescent="0.25">
      <c r="C228">
        <v>215</v>
      </c>
      <c r="D228">
        <v>1</v>
      </c>
      <c r="E228">
        <v>1</v>
      </c>
      <c r="F228" s="8">
        <f t="shared" si="44"/>
        <v>0.23850730124391561</v>
      </c>
      <c r="H228" s="8" t="str">
        <f>VLOOKUP(C228,Gender!$C$3:$D$454,2,FALSE)</f>
        <v>M</v>
      </c>
      <c r="I228" s="8">
        <f t="shared" si="45"/>
        <v>1</v>
      </c>
      <c r="J228" s="8" t="str">
        <f t="shared" si="46"/>
        <v/>
      </c>
      <c r="L228">
        <v>275</v>
      </c>
      <c r="M228">
        <v>34</v>
      </c>
      <c r="N228">
        <v>3</v>
      </c>
      <c r="O228" s="8" t="str">
        <f t="shared" si="47"/>
        <v/>
      </c>
      <c r="P228" s="8" t="str">
        <f t="shared" si="48"/>
        <v/>
      </c>
      <c r="Q228" s="8" t="str">
        <f>VLOOKUP(L228,Gender!$C$3:$D$454,2,FALSE)</f>
        <v>F</v>
      </c>
      <c r="R228" s="8" t="str">
        <f t="shared" si="49"/>
        <v/>
      </c>
      <c r="S228" s="8" t="str">
        <f t="shared" si="50"/>
        <v/>
      </c>
    </row>
    <row r="229" spans="3:19" x14ac:dyDescent="0.25">
      <c r="C229">
        <v>216</v>
      </c>
      <c r="D229">
        <v>3</v>
      </c>
      <c r="E229">
        <v>1</v>
      </c>
      <c r="F229" s="8">
        <f t="shared" si="44"/>
        <v>2.2850189291508922</v>
      </c>
      <c r="H229" s="8" t="str">
        <f>VLOOKUP(C229,Gender!$C$3:$D$454,2,FALSE)</f>
        <v>M</v>
      </c>
      <c r="I229" s="8">
        <f t="shared" si="45"/>
        <v>1</v>
      </c>
      <c r="J229" s="8" t="str">
        <f t="shared" si="46"/>
        <v/>
      </c>
      <c r="L229">
        <v>276</v>
      </c>
      <c r="M229">
        <v>17</v>
      </c>
      <c r="N229">
        <v>2</v>
      </c>
      <c r="O229" s="8">
        <f t="shared" si="47"/>
        <v>240.61060032449976</v>
      </c>
      <c r="P229" s="8">
        <f t="shared" si="48"/>
        <v>17</v>
      </c>
      <c r="Q229" s="8" t="str">
        <f>VLOOKUP(L229,Gender!$C$3:$D$454,2,FALSE)</f>
        <v>M</v>
      </c>
      <c r="R229" s="8">
        <f t="shared" si="49"/>
        <v>2</v>
      </c>
      <c r="S229" s="8" t="str">
        <f t="shared" si="50"/>
        <v/>
      </c>
    </row>
    <row r="230" spans="3:19" x14ac:dyDescent="0.25">
      <c r="C230">
        <v>217</v>
      </c>
      <c r="D230">
        <v>1</v>
      </c>
      <c r="E230">
        <v>1</v>
      </c>
      <c r="F230" s="8">
        <f t="shared" si="44"/>
        <v>0.23850730124391561</v>
      </c>
      <c r="H230" s="8" t="str">
        <f>VLOOKUP(C230,Gender!$C$3:$D$454,2,FALSE)</f>
        <v>M</v>
      </c>
      <c r="I230" s="8">
        <f t="shared" si="45"/>
        <v>1</v>
      </c>
      <c r="J230" s="8" t="str">
        <f t="shared" si="46"/>
        <v/>
      </c>
      <c r="L230">
        <v>277</v>
      </c>
      <c r="M230">
        <v>5</v>
      </c>
      <c r="N230">
        <v>3</v>
      </c>
      <c r="O230" s="8" t="str">
        <f t="shared" si="47"/>
        <v/>
      </c>
      <c r="P230" s="8" t="str">
        <f t="shared" si="48"/>
        <v/>
      </c>
      <c r="Q230" s="8" t="str">
        <f>VLOOKUP(L230,Gender!$C$3:$D$454,2,FALSE)</f>
        <v>M</v>
      </c>
      <c r="R230" s="8" t="str">
        <f t="shared" si="49"/>
        <v/>
      </c>
      <c r="S230" s="8" t="str">
        <f t="shared" si="50"/>
        <v/>
      </c>
    </row>
    <row r="231" spans="3:19" x14ac:dyDescent="0.25">
      <c r="C231">
        <v>218</v>
      </c>
      <c r="D231">
        <v>1</v>
      </c>
      <c r="E231">
        <v>1</v>
      </c>
      <c r="F231" s="8">
        <f t="shared" si="44"/>
        <v>0.23850730124391561</v>
      </c>
      <c r="H231" s="8" t="str">
        <f>VLOOKUP(C231,Gender!$C$3:$D$454,2,FALSE)</f>
        <v>M</v>
      </c>
      <c r="I231" s="8">
        <f t="shared" si="45"/>
        <v>1</v>
      </c>
      <c r="J231" s="8" t="str">
        <f t="shared" si="46"/>
        <v/>
      </c>
      <c r="L231">
        <v>278</v>
      </c>
      <c r="M231">
        <v>1</v>
      </c>
      <c r="N231">
        <v>4</v>
      </c>
      <c r="O231" s="8" t="str">
        <f t="shared" si="47"/>
        <v/>
      </c>
      <c r="P231" s="8" t="str">
        <f t="shared" si="48"/>
        <v/>
      </c>
      <c r="Q231" s="8" t="str">
        <f>VLOOKUP(L231,Gender!$C$3:$D$454,2,FALSE)</f>
        <v>M</v>
      </c>
      <c r="R231" s="8" t="str">
        <f t="shared" si="49"/>
        <v/>
      </c>
      <c r="S231" s="8" t="str">
        <f t="shared" si="50"/>
        <v/>
      </c>
    </row>
    <row r="232" spans="3:19" x14ac:dyDescent="0.25">
      <c r="C232">
        <v>219</v>
      </c>
      <c r="D232">
        <v>1</v>
      </c>
      <c r="E232">
        <v>1</v>
      </c>
      <c r="F232" s="8">
        <f t="shared" si="44"/>
        <v>0.23850730124391561</v>
      </c>
      <c r="H232" s="8" t="str">
        <f>VLOOKUP(C232,Gender!$C$3:$D$454,2,FALSE)</f>
        <v>M</v>
      </c>
      <c r="I232" s="8">
        <f t="shared" si="45"/>
        <v>1</v>
      </c>
      <c r="J232" s="8" t="str">
        <f t="shared" si="46"/>
        <v/>
      </c>
      <c r="L232">
        <v>279</v>
      </c>
      <c r="M232">
        <v>1</v>
      </c>
      <c r="N232">
        <v>2</v>
      </c>
      <c r="O232" s="8">
        <f t="shared" si="47"/>
        <v>0.23850730124391561</v>
      </c>
      <c r="P232" s="8">
        <f t="shared" si="48"/>
        <v>1</v>
      </c>
      <c r="Q232" s="8" t="str">
        <f>VLOOKUP(L232,Gender!$C$3:$D$454,2,FALSE)</f>
        <v>F</v>
      </c>
      <c r="R232" s="8" t="str">
        <f t="shared" si="49"/>
        <v/>
      </c>
      <c r="S232" s="8">
        <f t="shared" si="50"/>
        <v>2</v>
      </c>
    </row>
    <row r="233" spans="3:19" x14ac:dyDescent="0.25">
      <c r="C233">
        <v>220</v>
      </c>
      <c r="D233">
        <v>1</v>
      </c>
      <c r="E233">
        <v>1</v>
      </c>
      <c r="F233" s="8">
        <f t="shared" si="44"/>
        <v>0.23850730124391561</v>
      </c>
      <c r="H233" s="8" t="str">
        <f>VLOOKUP(C233,Gender!$C$3:$D$454,2,FALSE)</f>
        <v>M</v>
      </c>
      <c r="I233" s="8">
        <f t="shared" si="45"/>
        <v>1</v>
      </c>
      <c r="J233" s="8" t="str">
        <f t="shared" si="46"/>
        <v/>
      </c>
      <c r="L233">
        <v>280</v>
      </c>
      <c r="M233">
        <v>1</v>
      </c>
      <c r="N233">
        <v>2</v>
      </c>
      <c r="O233" s="8">
        <f t="shared" si="47"/>
        <v>0.23850730124391561</v>
      </c>
      <c r="P233" s="8">
        <f t="shared" si="48"/>
        <v>1</v>
      </c>
      <c r="Q233" s="8" t="str">
        <f>VLOOKUP(L233,Gender!$C$3:$D$454,2,FALSE)</f>
        <v>M</v>
      </c>
      <c r="R233" s="8">
        <f t="shared" si="49"/>
        <v>2</v>
      </c>
      <c r="S233" s="8" t="str">
        <f t="shared" si="50"/>
        <v/>
      </c>
    </row>
    <row r="234" spans="3:19" x14ac:dyDescent="0.25">
      <c r="C234">
        <v>221</v>
      </c>
      <c r="D234">
        <v>1</v>
      </c>
      <c r="E234">
        <v>1</v>
      </c>
      <c r="F234" s="8">
        <f t="shared" si="44"/>
        <v>0.23850730124391561</v>
      </c>
      <c r="H234" s="8" t="str">
        <f>VLOOKUP(C234,Gender!$C$3:$D$454,2,FALSE)</f>
        <v>M</v>
      </c>
      <c r="I234" s="8">
        <f t="shared" si="45"/>
        <v>1</v>
      </c>
      <c r="J234" s="8" t="str">
        <f t="shared" si="46"/>
        <v/>
      </c>
      <c r="L234">
        <v>281</v>
      </c>
      <c r="M234">
        <v>1</v>
      </c>
      <c r="N234">
        <v>2</v>
      </c>
      <c r="O234" s="8">
        <f t="shared" si="47"/>
        <v>0.23850730124391561</v>
      </c>
      <c r="P234" s="8">
        <f t="shared" si="48"/>
        <v>1</v>
      </c>
      <c r="Q234" s="8" t="str">
        <f>VLOOKUP(L234,Gender!$C$3:$D$454,2,FALSE)</f>
        <v>F</v>
      </c>
      <c r="R234" s="8" t="str">
        <f t="shared" si="49"/>
        <v/>
      </c>
      <c r="S234" s="8">
        <f t="shared" si="50"/>
        <v>2</v>
      </c>
    </row>
    <row r="235" spans="3:19" x14ac:dyDescent="0.25">
      <c r="C235">
        <v>222</v>
      </c>
      <c r="D235">
        <v>1</v>
      </c>
      <c r="E235">
        <v>1</v>
      </c>
      <c r="F235" s="8">
        <f t="shared" si="44"/>
        <v>0.23850730124391561</v>
      </c>
      <c r="H235" s="8" t="str">
        <f>VLOOKUP(C235,Gender!$C$3:$D$454,2,FALSE)</f>
        <v>F</v>
      </c>
      <c r="I235" s="8" t="str">
        <f t="shared" si="45"/>
        <v/>
      </c>
      <c r="J235" s="8">
        <f t="shared" si="46"/>
        <v>1</v>
      </c>
      <c r="L235">
        <v>282</v>
      </c>
      <c r="M235">
        <v>15</v>
      </c>
      <c r="N235">
        <v>3</v>
      </c>
      <c r="O235" s="8" t="str">
        <f t="shared" si="47"/>
        <v/>
      </c>
      <c r="P235" s="8" t="str">
        <f t="shared" si="48"/>
        <v/>
      </c>
      <c r="Q235" s="8" t="str">
        <f>VLOOKUP(L235,Gender!$C$3:$D$454,2,FALSE)</f>
        <v>M</v>
      </c>
      <c r="R235" s="8" t="str">
        <f t="shared" si="49"/>
        <v/>
      </c>
      <c r="S235" s="8" t="str">
        <f t="shared" si="50"/>
        <v/>
      </c>
    </row>
    <row r="236" spans="3:19" x14ac:dyDescent="0.25">
      <c r="C236">
        <v>223</v>
      </c>
      <c r="D236">
        <v>1</v>
      </c>
      <c r="E236">
        <v>1</v>
      </c>
      <c r="F236" s="8">
        <f t="shared" si="44"/>
        <v>0.23850730124391561</v>
      </c>
      <c r="H236" s="8" t="str">
        <f>VLOOKUP(C236,Gender!$C$3:$D$454,2,FALSE)</f>
        <v>M</v>
      </c>
      <c r="I236" s="8">
        <f t="shared" si="45"/>
        <v>1</v>
      </c>
      <c r="J236" s="8" t="str">
        <f t="shared" si="46"/>
        <v/>
      </c>
      <c r="L236">
        <v>285</v>
      </c>
      <c r="M236">
        <v>105</v>
      </c>
      <c r="N236">
        <v>3</v>
      </c>
      <c r="O236" s="8" t="str">
        <f t="shared" si="47"/>
        <v/>
      </c>
      <c r="P236" s="8" t="str">
        <f t="shared" si="48"/>
        <v/>
      </c>
      <c r="Q236" s="8" t="str">
        <f>VLOOKUP(L236,Gender!$C$3:$D$454,2,FALSE)</f>
        <v>M</v>
      </c>
      <c r="R236" s="8" t="str">
        <f t="shared" si="49"/>
        <v/>
      </c>
      <c r="S236" s="8" t="str">
        <f t="shared" si="50"/>
        <v/>
      </c>
    </row>
    <row r="237" spans="3:19" x14ac:dyDescent="0.25">
      <c r="C237">
        <v>224</v>
      </c>
      <c r="D237">
        <v>1</v>
      </c>
      <c r="E237">
        <v>3</v>
      </c>
      <c r="F237" s="8" t="str">
        <f t="shared" si="44"/>
        <v/>
      </c>
      <c r="H237" s="8" t="str">
        <f>VLOOKUP(C237,Gender!$C$3:$D$454,2,FALSE)</f>
        <v>F</v>
      </c>
      <c r="I237" s="8" t="str">
        <f t="shared" si="45"/>
        <v/>
      </c>
      <c r="J237" s="8" t="str">
        <f t="shared" si="46"/>
        <v/>
      </c>
      <c r="L237">
        <v>287</v>
      </c>
      <c r="M237">
        <v>22</v>
      </c>
      <c r="N237">
        <v>3</v>
      </c>
      <c r="O237" s="8" t="str">
        <f t="shared" si="47"/>
        <v/>
      </c>
      <c r="P237" s="8" t="str">
        <f t="shared" si="48"/>
        <v/>
      </c>
      <c r="Q237" s="8" t="str">
        <f>VLOOKUP(L237,Gender!$C$3:$D$454,2,FALSE)</f>
        <v>M</v>
      </c>
      <c r="R237" s="8" t="str">
        <f t="shared" si="49"/>
        <v/>
      </c>
      <c r="S237" s="8" t="str">
        <f t="shared" si="50"/>
        <v/>
      </c>
    </row>
    <row r="238" spans="3:19" x14ac:dyDescent="0.25">
      <c r="C238">
        <v>225</v>
      </c>
      <c r="D238">
        <v>2</v>
      </c>
      <c r="E238">
        <v>1</v>
      </c>
      <c r="F238" s="8">
        <f t="shared" si="44"/>
        <v>0.26176311519740403</v>
      </c>
      <c r="H238" s="8" t="str">
        <f>VLOOKUP(C238,Gender!$C$3:$D$454,2,FALSE)</f>
        <v>F</v>
      </c>
      <c r="I238" s="8" t="str">
        <f t="shared" si="45"/>
        <v/>
      </c>
      <c r="J238" s="8">
        <f t="shared" si="46"/>
        <v>1</v>
      </c>
      <c r="L238">
        <v>288</v>
      </c>
      <c r="M238">
        <v>30</v>
      </c>
      <c r="N238">
        <v>2</v>
      </c>
      <c r="O238" s="8">
        <f t="shared" si="47"/>
        <v>812.91292590589512</v>
      </c>
      <c r="P238" s="8">
        <f t="shared" si="48"/>
        <v>30</v>
      </c>
      <c r="Q238" s="8" t="str">
        <f>VLOOKUP(L238,Gender!$C$3:$D$454,2,FALSE)</f>
        <v>M</v>
      </c>
      <c r="R238" s="8">
        <f t="shared" si="49"/>
        <v>2</v>
      </c>
      <c r="S238" s="8" t="str">
        <f t="shared" si="50"/>
        <v/>
      </c>
    </row>
    <row r="239" spans="3:19" x14ac:dyDescent="0.25">
      <c r="C239">
        <v>226</v>
      </c>
      <c r="D239">
        <v>1</v>
      </c>
      <c r="E239">
        <v>1</v>
      </c>
      <c r="F239" s="8">
        <f t="shared" si="44"/>
        <v>0.23850730124391561</v>
      </c>
      <c r="H239" s="8" t="str">
        <f>VLOOKUP(C239,Gender!$C$3:$D$454,2,FALSE)</f>
        <v>M</v>
      </c>
      <c r="I239" s="8">
        <f t="shared" si="45"/>
        <v>1</v>
      </c>
      <c r="J239" s="8" t="str">
        <f t="shared" si="46"/>
        <v/>
      </c>
      <c r="L239">
        <v>289</v>
      </c>
      <c r="M239">
        <v>38</v>
      </c>
      <c r="N239">
        <v>4</v>
      </c>
      <c r="O239" s="8" t="str">
        <f t="shared" si="47"/>
        <v/>
      </c>
      <c r="P239" s="8" t="str">
        <f t="shared" si="48"/>
        <v/>
      </c>
      <c r="Q239" s="8" t="str">
        <f>VLOOKUP(L239,Gender!$C$3:$D$454,2,FALSE)</f>
        <v>M</v>
      </c>
      <c r="R239" s="8" t="str">
        <f t="shared" si="49"/>
        <v/>
      </c>
      <c r="S239" s="8" t="str">
        <f t="shared" si="50"/>
        <v/>
      </c>
    </row>
    <row r="240" spans="3:19" x14ac:dyDescent="0.25">
      <c r="C240">
        <v>227</v>
      </c>
      <c r="D240">
        <v>1</v>
      </c>
      <c r="E240">
        <v>1</v>
      </c>
      <c r="F240" s="8">
        <f t="shared" si="44"/>
        <v>0.23850730124391561</v>
      </c>
      <c r="H240" s="8" t="str">
        <f>VLOOKUP(C240,Gender!$C$3:$D$454,2,FALSE)</f>
        <v>F</v>
      </c>
      <c r="I240" s="8" t="str">
        <f t="shared" si="45"/>
        <v/>
      </c>
      <c r="J240" s="8">
        <f t="shared" si="46"/>
        <v>1</v>
      </c>
      <c r="L240">
        <v>292</v>
      </c>
      <c r="M240">
        <v>54</v>
      </c>
      <c r="N240">
        <v>3</v>
      </c>
      <c r="O240" s="8" t="str">
        <f t="shared" si="47"/>
        <v/>
      </c>
      <c r="P240" s="8" t="str">
        <f t="shared" si="48"/>
        <v/>
      </c>
      <c r="Q240" s="8" t="str">
        <f>VLOOKUP(L240,Gender!$C$3:$D$454,2,FALSE)</f>
        <v>M</v>
      </c>
      <c r="R240" s="8" t="str">
        <f t="shared" si="49"/>
        <v/>
      </c>
      <c r="S240" s="8" t="str">
        <f t="shared" si="50"/>
        <v/>
      </c>
    </row>
    <row r="241" spans="3:19" x14ac:dyDescent="0.25">
      <c r="C241">
        <v>228</v>
      </c>
      <c r="D241">
        <v>1</v>
      </c>
      <c r="E241">
        <v>1</v>
      </c>
      <c r="F241" s="8">
        <f t="shared" si="44"/>
        <v>0.23850730124391561</v>
      </c>
      <c r="H241" s="8" t="str">
        <f>VLOOKUP(C241,Gender!$C$3:$D$454,2,FALSE)</f>
        <v>F</v>
      </c>
      <c r="I241" s="8" t="str">
        <f t="shared" si="45"/>
        <v/>
      </c>
      <c r="J241" s="8">
        <f t="shared" si="46"/>
        <v>1</v>
      </c>
      <c r="L241">
        <v>293</v>
      </c>
      <c r="M241">
        <v>1</v>
      </c>
      <c r="N241">
        <v>2</v>
      </c>
      <c r="O241" s="8">
        <f t="shared" si="47"/>
        <v>0.23850730124391561</v>
      </c>
      <c r="P241" s="8">
        <f t="shared" si="48"/>
        <v>1</v>
      </c>
      <c r="Q241" s="8" t="str">
        <f>VLOOKUP(L241,Gender!$C$3:$D$454,2,FALSE)</f>
        <v>F</v>
      </c>
      <c r="R241" s="8" t="str">
        <f t="shared" si="49"/>
        <v/>
      </c>
      <c r="S241" s="8">
        <f t="shared" si="50"/>
        <v>2</v>
      </c>
    </row>
    <row r="242" spans="3:19" x14ac:dyDescent="0.25">
      <c r="C242">
        <v>229</v>
      </c>
      <c r="D242">
        <v>1</v>
      </c>
      <c r="E242">
        <v>2</v>
      </c>
      <c r="F242" s="8" t="str">
        <f t="shared" si="44"/>
        <v/>
      </c>
      <c r="H242" s="8" t="str">
        <f>VLOOKUP(C242,Gender!$C$3:$D$454,2,FALSE)</f>
        <v>M</v>
      </c>
      <c r="I242" s="8" t="str">
        <f t="shared" si="45"/>
        <v/>
      </c>
      <c r="J242" s="8" t="str">
        <f t="shared" si="46"/>
        <v/>
      </c>
      <c r="L242">
        <v>294</v>
      </c>
      <c r="M242">
        <v>1</v>
      </c>
      <c r="N242">
        <v>2</v>
      </c>
      <c r="O242" s="8">
        <f t="shared" si="47"/>
        <v>0.23850730124391561</v>
      </c>
      <c r="P242" s="8">
        <f t="shared" si="48"/>
        <v>1</v>
      </c>
      <c r="Q242" s="8" t="str">
        <f>VLOOKUP(L242,Gender!$C$3:$D$454,2,FALSE)</f>
        <v>M</v>
      </c>
      <c r="R242" s="8">
        <f t="shared" si="49"/>
        <v>2</v>
      </c>
      <c r="S242" s="8" t="str">
        <f t="shared" si="50"/>
        <v/>
      </c>
    </row>
    <row r="243" spans="3:19" x14ac:dyDescent="0.25">
      <c r="C243">
        <v>230</v>
      </c>
      <c r="D243">
        <v>1</v>
      </c>
      <c r="E243">
        <v>1</v>
      </c>
      <c r="F243" s="8">
        <f t="shared" si="44"/>
        <v>0.23850730124391561</v>
      </c>
      <c r="H243" s="8" t="str">
        <f>VLOOKUP(C243,Gender!$C$3:$D$454,2,FALSE)</f>
        <v>M</v>
      </c>
      <c r="I243" s="8">
        <f t="shared" si="45"/>
        <v>1</v>
      </c>
      <c r="J243" s="8" t="str">
        <f t="shared" si="46"/>
        <v/>
      </c>
      <c r="L243">
        <v>295</v>
      </c>
      <c r="M243">
        <v>22</v>
      </c>
      <c r="N243">
        <v>2</v>
      </c>
      <c r="O243" s="8">
        <f t="shared" si="47"/>
        <v>420.7268793942672</v>
      </c>
      <c r="P243" s="8">
        <f t="shared" si="48"/>
        <v>22</v>
      </c>
      <c r="Q243" s="8" t="str">
        <f>VLOOKUP(L243,Gender!$C$3:$D$454,2,FALSE)</f>
        <v>M</v>
      </c>
      <c r="R243" s="8">
        <f t="shared" si="49"/>
        <v>2</v>
      </c>
      <c r="S243" s="8" t="str">
        <f t="shared" si="50"/>
        <v/>
      </c>
    </row>
    <row r="244" spans="3:19" x14ac:dyDescent="0.25">
      <c r="C244">
        <v>231</v>
      </c>
      <c r="D244">
        <v>2</v>
      </c>
      <c r="E244">
        <v>1</v>
      </c>
      <c r="F244" s="8">
        <f t="shared" si="44"/>
        <v>0.26176311519740403</v>
      </c>
      <c r="H244" s="8" t="str">
        <f>VLOOKUP(C244,Gender!$C$3:$D$454,2,FALSE)</f>
        <v>M</v>
      </c>
      <c r="I244" s="8">
        <f t="shared" si="45"/>
        <v>1</v>
      </c>
      <c r="J244" s="8" t="str">
        <f t="shared" si="46"/>
        <v/>
      </c>
      <c r="L244">
        <v>296</v>
      </c>
      <c r="M244">
        <v>42</v>
      </c>
      <c r="N244">
        <v>2</v>
      </c>
      <c r="O244" s="8">
        <f t="shared" si="47"/>
        <v>1641.1919956733368</v>
      </c>
      <c r="P244" s="8">
        <f t="shared" si="48"/>
        <v>42</v>
      </c>
      <c r="Q244" s="8" t="str">
        <f>VLOOKUP(L244,Gender!$C$3:$D$454,2,FALSE)</f>
        <v>M</v>
      </c>
      <c r="R244" s="8">
        <f t="shared" si="49"/>
        <v>2</v>
      </c>
      <c r="S244" s="8" t="str">
        <f t="shared" si="50"/>
        <v/>
      </c>
    </row>
    <row r="245" spans="3:19" x14ac:dyDescent="0.25">
      <c r="C245">
        <v>232</v>
      </c>
      <c r="D245">
        <v>1</v>
      </c>
      <c r="E245">
        <v>1</v>
      </c>
      <c r="F245" s="8">
        <f t="shared" si="44"/>
        <v>0.23850730124391561</v>
      </c>
      <c r="H245" s="8" t="str">
        <f>VLOOKUP(C245,Gender!$C$3:$D$454,2,FALSE)</f>
        <v>M</v>
      </c>
      <c r="I245" s="8">
        <f t="shared" si="45"/>
        <v>1</v>
      </c>
      <c r="J245" s="8" t="str">
        <f t="shared" si="46"/>
        <v/>
      </c>
      <c r="L245">
        <v>297</v>
      </c>
      <c r="M245">
        <v>60</v>
      </c>
      <c r="N245">
        <v>2</v>
      </c>
      <c r="O245" s="8">
        <f t="shared" si="47"/>
        <v>3423.6106003244995</v>
      </c>
      <c r="P245" s="8">
        <f t="shared" si="48"/>
        <v>60</v>
      </c>
      <c r="Q245" s="8" t="str">
        <f>VLOOKUP(L245,Gender!$C$3:$D$454,2,FALSE)</f>
        <v>F</v>
      </c>
      <c r="R245" s="8" t="str">
        <f t="shared" si="49"/>
        <v/>
      </c>
      <c r="S245" s="8">
        <f t="shared" si="50"/>
        <v>2</v>
      </c>
    </row>
    <row r="246" spans="3:19" x14ac:dyDescent="0.25">
      <c r="C246">
        <v>233</v>
      </c>
      <c r="D246">
        <v>1</v>
      </c>
      <c r="E246">
        <v>1</v>
      </c>
      <c r="F246" s="8">
        <f t="shared" si="44"/>
        <v>0.23850730124391561</v>
      </c>
      <c r="H246" s="8" t="str">
        <f>VLOOKUP(C246,Gender!$C$3:$D$454,2,FALSE)</f>
        <v>F</v>
      </c>
      <c r="I246" s="8" t="str">
        <f t="shared" si="45"/>
        <v/>
      </c>
      <c r="J246" s="8">
        <f t="shared" si="46"/>
        <v>1</v>
      </c>
      <c r="L246">
        <v>298</v>
      </c>
      <c r="M246">
        <v>6</v>
      </c>
      <c r="N246">
        <v>3</v>
      </c>
      <c r="O246" s="8" t="str">
        <f t="shared" si="47"/>
        <v/>
      </c>
      <c r="P246" s="8" t="str">
        <f t="shared" si="48"/>
        <v/>
      </c>
      <c r="Q246" s="8" t="str">
        <f>VLOOKUP(L246,Gender!$C$3:$D$454,2,FALSE)</f>
        <v>F</v>
      </c>
      <c r="R246" s="8" t="str">
        <f t="shared" si="49"/>
        <v/>
      </c>
      <c r="S246" s="8" t="str">
        <f t="shared" si="50"/>
        <v/>
      </c>
    </row>
    <row r="247" spans="3:19" x14ac:dyDescent="0.25">
      <c r="C247">
        <v>234</v>
      </c>
      <c r="D247">
        <v>1</v>
      </c>
      <c r="E247">
        <v>1</v>
      </c>
      <c r="F247" s="8">
        <f t="shared" si="44"/>
        <v>0.23850730124391561</v>
      </c>
      <c r="H247" s="8" t="str">
        <f>VLOOKUP(C247,Gender!$C$3:$D$454,2,FALSE)</f>
        <v>M</v>
      </c>
      <c r="I247" s="8">
        <f t="shared" si="45"/>
        <v>1</v>
      </c>
      <c r="J247" s="8" t="str">
        <f t="shared" si="46"/>
        <v/>
      </c>
      <c r="L247">
        <v>299</v>
      </c>
      <c r="M247">
        <v>22</v>
      </c>
      <c r="N247">
        <v>3</v>
      </c>
      <c r="O247" s="8" t="str">
        <f t="shared" si="47"/>
        <v/>
      </c>
      <c r="P247" s="8" t="str">
        <f t="shared" si="48"/>
        <v/>
      </c>
      <c r="Q247" s="8" t="str">
        <f>VLOOKUP(L247,Gender!$C$3:$D$454,2,FALSE)</f>
        <v>M</v>
      </c>
      <c r="R247" s="8" t="str">
        <f t="shared" si="49"/>
        <v/>
      </c>
      <c r="S247" s="8" t="str">
        <f t="shared" si="50"/>
        <v/>
      </c>
    </row>
    <row r="248" spans="3:19" x14ac:dyDescent="0.25">
      <c r="C248">
        <v>235</v>
      </c>
      <c r="D248">
        <v>1</v>
      </c>
      <c r="E248">
        <v>1</v>
      </c>
      <c r="F248" s="8">
        <f t="shared" si="44"/>
        <v>0.23850730124391561</v>
      </c>
      <c r="H248" s="8" t="str">
        <f>VLOOKUP(C248,Gender!$C$3:$D$454,2,FALSE)</f>
        <v>F</v>
      </c>
      <c r="I248" s="8" t="str">
        <f t="shared" si="45"/>
        <v/>
      </c>
      <c r="J248" s="8">
        <f t="shared" si="46"/>
        <v>1</v>
      </c>
    </row>
    <row r="249" spans="3:19" x14ac:dyDescent="0.25">
      <c r="C249">
        <v>236</v>
      </c>
      <c r="D249">
        <v>1</v>
      </c>
      <c r="E249">
        <v>2</v>
      </c>
      <c r="F249" s="8" t="str">
        <f t="shared" si="44"/>
        <v/>
      </c>
      <c r="H249" s="8" t="str">
        <f>VLOOKUP(C249,Gender!$C$3:$D$454,2,FALSE)</f>
        <v>M</v>
      </c>
      <c r="I249" s="8" t="str">
        <f t="shared" si="45"/>
        <v/>
      </c>
      <c r="J249" s="8" t="str">
        <f t="shared" si="46"/>
        <v/>
      </c>
    </row>
    <row r="250" spans="3:19" x14ac:dyDescent="0.25">
      <c r="C250">
        <v>237</v>
      </c>
      <c r="D250">
        <v>1</v>
      </c>
      <c r="E250">
        <v>1</v>
      </c>
      <c r="F250" s="8">
        <f t="shared" si="44"/>
        <v>0.23850730124391561</v>
      </c>
      <c r="H250" s="8" t="str">
        <f>VLOOKUP(C250,Gender!$C$3:$D$454,2,FALSE)</f>
        <v>F</v>
      </c>
      <c r="I250" s="8" t="str">
        <f t="shared" si="45"/>
        <v/>
      </c>
      <c r="J250" s="8">
        <f t="shared" si="46"/>
        <v>1</v>
      </c>
    </row>
    <row r="251" spans="3:19" x14ac:dyDescent="0.25">
      <c r="C251">
        <v>238</v>
      </c>
      <c r="D251">
        <v>1</v>
      </c>
      <c r="E251">
        <v>1</v>
      </c>
      <c r="F251" s="8">
        <f t="shared" si="44"/>
        <v>0.23850730124391561</v>
      </c>
      <c r="H251" s="8" t="str">
        <f>VLOOKUP(C251,Gender!$C$3:$D$454,2,FALSE)</f>
        <v>F</v>
      </c>
      <c r="I251" s="8" t="str">
        <f t="shared" si="45"/>
        <v/>
      </c>
      <c r="J251" s="8">
        <f t="shared" si="46"/>
        <v>1</v>
      </c>
    </row>
    <row r="252" spans="3:19" x14ac:dyDescent="0.25">
      <c r="C252">
        <v>239</v>
      </c>
      <c r="D252">
        <v>1</v>
      </c>
      <c r="E252">
        <v>1</v>
      </c>
      <c r="F252" s="8">
        <f t="shared" si="44"/>
        <v>0.23850730124391561</v>
      </c>
      <c r="H252" s="8" t="str">
        <f>VLOOKUP(C252,Gender!$C$3:$D$454,2,FALSE)</f>
        <v>M</v>
      </c>
      <c r="I252" s="8">
        <f t="shared" si="45"/>
        <v>1</v>
      </c>
      <c r="J252" s="8" t="str">
        <f t="shared" si="46"/>
        <v/>
      </c>
    </row>
    <row r="253" spans="3:19" x14ac:dyDescent="0.25">
      <c r="C253">
        <v>240</v>
      </c>
      <c r="D253">
        <v>1</v>
      </c>
      <c r="E253">
        <v>1</v>
      </c>
      <c r="F253" s="8">
        <f t="shared" si="44"/>
        <v>0.23850730124391561</v>
      </c>
      <c r="H253" s="8" t="str">
        <f>VLOOKUP(C253,Gender!$C$3:$D$454,2,FALSE)</f>
        <v>F</v>
      </c>
      <c r="I253" s="8" t="str">
        <f t="shared" si="45"/>
        <v/>
      </c>
      <c r="J253" s="8">
        <f t="shared" si="46"/>
        <v>1</v>
      </c>
    </row>
    <row r="254" spans="3:19" x14ac:dyDescent="0.25">
      <c r="C254">
        <v>241</v>
      </c>
      <c r="D254">
        <v>1</v>
      </c>
      <c r="E254">
        <v>1</v>
      </c>
      <c r="F254" s="8">
        <f t="shared" si="44"/>
        <v>0.23850730124391561</v>
      </c>
      <c r="H254" s="8" t="str">
        <f>VLOOKUP(C254,Gender!$C$3:$D$454,2,FALSE)</f>
        <v>M</v>
      </c>
      <c r="I254" s="8">
        <f t="shared" si="45"/>
        <v>1</v>
      </c>
      <c r="J254" s="8" t="str">
        <f t="shared" si="46"/>
        <v/>
      </c>
    </row>
    <row r="255" spans="3:19" x14ac:dyDescent="0.25">
      <c r="C255">
        <v>242</v>
      </c>
      <c r="D255">
        <v>1</v>
      </c>
      <c r="E255">
        <v>1</v>
      </c>
      <c r="F255" s="8">
        <f t="shared" si="44"/>
        <v>0.23850730124391561</v>
      </c>
      <c r="H255" s="8" t="str">
        <f>VLOOKUP(C255,Gender!$C$3:$D$454,2,FALSE)</f>
        <v>M</v>
      </c>
      <c r="I255" s="8">
        <f t="shared" si="45"/>
        <v>1</v>
      </c>
      <c r="J255" s="8" t="str">
        <f t="shared" si="46"/>
        <v/>
      </c>
    </row>
    <row r="256" spans="3:19" x14ac:dyDescent="0.25">
      <c r="C256">
        <v>243</v>
      </c>
      <c r="D256">
        <v>1</v>
      </c>
      <c r="E256">
        <v>2</v>
      </c>
      <c r="F256" s="8" t="str">
        <f t="shared" si="44"/>
        <v/>
      </c>
      <c r="H256" s="8" t="str">
        <f>VLOOKUP(C256,Gender!$C$3:$D$454,2,FALSE)</f>
        <v>M</v>
      </c>
      <c r="I256" s="8" t="str">
        <f t="shared" si="45"/>
        <v/>
      </c>
      <c r="J256" s="8" t="str">
        <f t="shared" si="46"/>
        <v/>
      </c>
    </row>
    <row r="257" spans="3:10" x14ac:dyDescent="0.25">
      <c r="C257">
        <v>244</v>
      </c>
      <c r="D257">
        <v>1</v>
      </c>
      <c r="E257">
        <v>1</v>
      </c>
      <c r="F257" s="8">
        <f t="shared" si="44"/>
        <v>0.23850730124391561</v>
      </c>
      <c r="H257" s="8" t="str">
        <f>VLOOKUP(C257,Gender!$C$3:$D$454,2,FALSE)</f>
        <v>M</v>
      </c>
      <c r="I257" s="8">
        <f t="shared" si="45"/>
        <v>1</v>
      </c>
      <c r="J257" s="8" t="str">
        <f t="shared" si="46"/>
        <v/>
      </c>
    </row>
    <row r="258" spans="3:10" x14ac:dyDescent="0.25">
      <c r="C258">
        <v>245</v>
      </c>
      <c r="D258">
        <v>1</v>
      </c>
      <c r="E258">
        <v>1</v>
      </c>
      <c r="F258" s="8">
        <f t="shared" si="44"/>
        <v>0.23850730124391561</v>
      </c>
      <c r="H258" s="8" t="str">
        <f>VLOOKUP(C258,Gender!$C$3:$D$454,2,FALSE)</f>
        <v>M</v>
      </c>
      <c r="I258" s="8">
        <f t="shared" si="45"/>
        <v>1</v>
      </c>
      <c r="J258" s="8" t="str">
        <f t="shared" si="46"/>
        <v/>
      </c>
    </row>
    <row r="259" spans="3:10" x14ac:dyDescent="0.25">
      <c r="C259">
        <v>246</v>
      </c>
      <c r="D259">
        <v>1</v>
      </c>
      <c r="E259">
        <v>3</v>
      </c>
      <c r="F259" s="8" t="str">
        <f t="shared" si="44"/>
        <v/>
      </c>
      <c r="H259" s="8" t="str">
        <f>VLOOKUP(C259,Gender!$C$3:$D$454,2,FALSE)</f>
        <v>M</v>
      </c>
      <c r="I259" s="8" t="str">
        <f t="shared" si="45"/>
        <v/>
      </c>
      <c r="J259" s="8" t="str">
        <f t="shared" si="46"/>
        <v/>
      </c>
    </row>
    <row r="260" spans="3:10" x14ac:dyDescent="0.25">
      <c r="C260">
        <v>247</v>
      </c>
      <c r="D260">
        <v>2</v>
      </c>
      <c r="E260">
        <v>1</v>
      </c>
      <c r="F260" s="8">
        <f t="shared" si="44"/>
        <v>0.26176311519740403</v>
      </c>
      <c r="H260" s="8" t="str">
        <f>VLOOKUP(C260,Gender!$C$3:$D$454,2,FALSE)</f>
        <v>M</v>
      </c>
      <c r="I260" s="8">
        <f t="shared" si="45"/>
        <v>1</v>
      </c>
      <c r="J260" s="8" t="str">
        <f t="shared" si="46"/>
        <v/>
      </c>
    </row>
    <row r="261" spans="3:10" x14ac:dyDescent="0.25">
      <c r="C261">
        <v>248</v>
      </c>
      <c r="D261">
        <v>1</v>
      </c>
      <c r="E261">
        <v>2</v>
      </c>
      <c r="F261" s="8" t="str">
        <f t="shared" si="44"/>
        <v/>
      </c>
      <c r="H261" s="8" t="str">
        <f>VLOOKUP(C261,Gender!$C$3:$D$454,2,FALSE)</f>
        <v>M</v>
      </c>
      <c r="I261" s="8" t="str">
        <f t="shared" si="45"/>
        <v/>
      </c>
      <c r="J261" s="8" t="str">
        <f t="shared" si="46"/>
        <v/>
      </c>
    </row>
    <row r="262" spans="3:10" x14ac:dyDescent="0.25">
      <c r="C262">
        <v>249</v>
      </c>
      <c r="D262">
        <v>1</v>
      </c>
      <c r="E262">
        <v>1</v>
      </c>
      <c r="F262" s="8">
        <f t="shared" si="44"/>
        <v>0.23850730124391561</v>
      </c>
      <c r="H262" s="8" t="str">
        <f>VLOOKUP(C262,Gender!$C$3:$D$454,2,FALSE)</f>
        <v>M</v>
      </c>
      <c r="I262" s="8">
        <f t="shared" si="45"/>
        <v>1</v>
      </c>
      <c r="J262" s="8" t="str">
        <f t="shared" si="46"/>
        <v/>
      </c>
    </row>
    <row r="263" spans="3:10" x14ac:dyDescent="0.25">
      <c r="C263">
        <v>250</v>
      </c>
      <c r="D263">
        <v>1</v>
      </c>
      <c r="E263">
        <v>1</v>
      </c>
      <c r="F263" s="8">
        <f t="shared" si="44"/>
        <v>0.23850730124391561</v>
      </c>
      <c r="H263" s="8" t="str">
        <f>VLOOKUP(C263,Gender!$C$3:$D$454,2,FALSE)</f>
        <v>M</v>
      </c>
      <c r="I263" s="8">
        <f t="shared" si="45"/>
        <v>1</v>
      </c>
      <c r="J263" s="8" t="str">
        <f t="shared" si="46"/>
        <v/>
      </c>
    </row>
    <row r="264" spans="3:10" x14ac:dyDescent="0.25">
      <c r="C264">
        <v>251</v>
      </c>
      <c r="D264">
        <v>1</v>
      </c>
      <c r="E264">
        <v>1</v>
      </c>
      <c r="F264" s="8">
        <f t="shared" si="44"/>
        <v>0.23850730124391561</v>
      </c>
      <c r="H264" s="8" t="str">
        <f>VLOOKUP(C264,Gender!$C$3:$D$454,2,FALSE)</f>
        <v>M</v>
      </c>
      <c r="I264" s="8">
        <f t="shared" si="45"/>
        <v>1</v>
      </c>
      <c r="J264" s="8" t="str">
        <f t="shared" si="46"/>
        <v/>
      </c>
    </row>
    <row r="265" spans="3:10" x14ac:dyDescent="0.25">
      <c r="C265">
        <v>252</v>
      </c>
      <c r="D265">
        <v>1</v>
      </c>
      <c r="E265">
        <v>1</v>
      </c>
      <c r="F265" s="8">
        <f t="shared" si="44"/>
        <v>0.23850730124391561</v>
      </c>
      <c r="H265" s="8" t="str">
        <f>VLOOKUP(C265,Gender!$C$3:$D$454,2,FALSE)</f>
        <v>M</v>
      </c>
      <c r="I265" s="8">
        <f t="shared" si="45"/>
        <v>1</v>
      </c>
      <c r="J265" s="8" t="str">
        <f t="shared" si="46"/>
        <v/>
      </c>
    </row>
    <row r="266" spans="3:10" x14ac:dyDescent="0.25">
      <c r="C266">
        <v>253</v>
      </c>
      <c r="D266">
        <v>5</v>
      </c>
      <c r="E266">
        <v>1</v>
      </c>
      <c r="F266" s="8">
        <f t="shared" si="44"/>
        <v>12.331530557057869</v>
      </c>
      <c r="H266" s="8" t="str">
        <f>VLOOKUP(C266,Gender!$C$3:$D$454,2,FALSE)</f>
        <v>M</v>
      </c>
      <c r="I266" s="8">
        <f t="shared" si="45"/>
        <v>1</v>
      </c>
      <c r="J266" s="8" t="str">
        <f t="shared" si="46"/>
        <v/>
      </c>
    </row>
    <row r="267" spans="3:10" x14ac:dyDescent="0.25">
      <c r="C267">
        <v>254</v>
      </c>
      <c r="D267">
        <v>1</v>
      </c>
      <c r="E267">
        <v>1</v>
      </c>
      <c r="F267" s="8">
        <f t="shared" si="44"/>
        <v>0.23850730124391561</v>
      </c>
      <c r="H267" s="8" t="str">
        <f>VLOOKUP(C267,Gender!$C$3:$D$454,2,FALSE)</f>
        <v>F</v>
      </c>
      <c r="I267" s="8" t="str">
        <f t="shared" si="45"/>
        <v/>
      </c>
      <c r="J267" s="8">
        <f t="shared" si="46"/>
        <v>1</v>
      </c>
    </row>
    <row r="268" spans="3:10" x14ac:dyDescent="0.25">
      <c r="C268">
        <v>255</v>
      </c>
      <c r="D268">
        <v>1</v>
      </c>
      <c r="E268">
        <v>1</v>
      </c>
      <c r="F268" s="8">
        <f t="shared" si="44"/>
        <v>0.23850730124391561</v>
      </c>
      <c r="H268" s="8" t="str">
        <f>VLOOKUP(C268,Gender!$C$3:$D$454,2,FALSE)</f>
        <v>M</v>
      </c>
      <c r="I268" s="8">
        <f t="shared" si="45"/>
        <v>1</v>
      </c>
      <c r="J268" s="8" t="str">
        <f t="shared" si="46"/>
        <v/>
      </c>
    </row>
    <row r="269" spans="3:10" x14ac:dyDescent="0.25">
      <c r="C269">
        <v>256</v>
      </c>
      <c r="D269">
        <v>1</v>
      </c>
      <c r="E269">
        <v>1</v>
      </c>
      <c r="F269" s="8">
        <f t="shared" si="44"/>
        <v>0.23850730124391561</v>
      </c>
      <c r="H269" s="8" t="str">
        <f>VLOOKUP(C269,Gender!$C$3:$D$454,2,FALSE)</f>
        <v>F</v>
      </c>
      <c r="I269" s="8" t="str">
        <f t="shared" si="45"/>
        <v/>
      </c>
      <c r="J269" s="8">
        <f t="shared" si="46"/>
        <v>1</v>
      </c>
    </row>
    <row r="270" spans="3:10" x14ac:dyDescent="0.25">
      <c r="C270">
        <v>257</v>
      </c>
      <c r="D270">
        <v>2</v>
      </c>
      <c r="E270">
        <v>1</v>
      </c>
      <c r="F270" s="8">
        <f t="shared" ref="F270:F312" si="51">IF(E270=1,(D270-$D$2)*(D270-$D$2),"")</f>
        <v>0.26176311519740403</v>
      </c>
      <c r="H270" s="8" t="str">
        <f>VLOOKUP(C270,Gender!$C$3:$D$454,2,FALSE)</f>
        <v>M</v>
      </c>
      <c r="I270" s="8">
        <f t="shared" ref="I270:I312" si="52">IF(AND(E270=1,H270="M"),1,"")</f>
        <v>1</v>
      </c>
      <c r="J270" s="8" t="str">
        <f t="shared" ref="J270:J312" si="53">IF(AND(E270=1,H270="F"),1,"")</f>
        <v/>
      </c>
    </row>
    <row r="271" spans="3:10" x14ac:dyDescent="0.25">
      <c r="C271">
        <v>258</v>
      </c>
      <c r="D271">
        <v>1</v>
      </c>
      <c r="E271">
        <v>1</v>
      </c>
      <c r="F271" s="8">
        <f t="shared" si="51"/>
        <v>0.23850730124391561</v>
      </c>
      <c r="H271" s="8" t="str">
        <f>VLOOKUP(C271,Gender!$C$3:$D$454,2,FALSE)</f>
        <v>F</v>
      </c>
      <c r="I271" s="8" t="str">
        <f t="shared" si="52"/>
        <v/>
      </c>
      <c r="J271" s="8">
        <f t="shared" si="53"/>
        <v>1</v>
      </c>
    </row>
    <row r="272" spans="3:10" x14ac:dyDescent="0.25">
      <c r="C272">
        <v>259</v>
      </c>
      <c r="D272">
        <v>1</v>
      </c>
      <c r="E272">
        <v>1</v>
      </c>
      <c r="F272" s="8">
        <f t="shared" si="51"/>
        <v>0.23850730124391561</v>
      </c>
      <c r="H272" s="8" t="str">
        <f>VLOOKUP(C272,Gender!$C$3:$D$454,2,FALSE)</f>
        <v>M</v>
      </c>
      <c r="I272" s="8">
        <f t="shared" si="52"/>
        <v>1</v>
      </c>
      <c r="J272" s="8" t="str">
        <f t="shared" si="53"/>
        <v/>
      </c>
    </row>
    <row r="273" spans="3:10" x14ac:dyDescent="0.25">
      <c r="C273">
        <v>260</v>
      </c>
      <c r="D273">
        <v>1</v>
      </c>
      <c r="E273">
        <v>1</v>
      </c>
      <c r="F273" s="8">
        <f t="shared" si="51"/>
        <v>0.23850730124391561</v>
      </c>
      <c r="H273" s="8" t="str">
        <f>VLOOKUP(C273,Gender!$C$3:$D$454,2,FALSE)</f>
        <v>F</v>
      </c>
      <c r="I273" s="8" t="str">
        <f t="shared" si="52"/>
        <v/>
      </c>
      <c r="J273" s="8">
        <f t="shared" si="53"/>
        <v>1</v>
      </c>
    </row>
    <row r="274" spans="3:10" x14ac:dyDescent="0.25">
      <c r="C274">
        <v>261</v>
      </c>
      <c r="D274">
        <v>1</v>
      </c>
      <c r="E274">
        <v>1</v>
      </c>
      <c r="F274" s="8">
        <f t="shared" si="51"/>
        <v>0.23850730124391561</v>
      </c>
      <c r="H274" s="8" t="str">
        <f>VLOOKUP(C274,Gender!$C$3:$D$454,2,FALSE)</f>
        <v>F</v>
      </c>
      <c r="I274" s="8" t="str">
        <f t="shared" si="52"/>
        <v/>
      </c>
      <c r="J274" s="8">
        <f t="shared" si="53"/>
        <v>1</v>
      </c>
    </row>
    <row r="275" spans="3:10" x14ac:dyDescent="0.25">
      <c r="C275">
        <v>262</v>
      </c>
      <c r="D275">
        <v>11</v>
      </c>
      <c r="E275">
        <v>1</v>
      </c>
      <c r="F275" s="8">
        <f t="shared" si="51"/>
        <v>90.471065440778816</v>
      </c>
      <c r="H275" s="8" t="str">
        <f>VLOOKUP(C275,Gender!$C$3:$D$454,2,FALSE)</f>
        <v>M</v>
      </c>
      <c r="I275" s="8">
        <f t="shared" si="52"/>
        <v>1</v>
      </c>
      <c r="J275" s="8" t="str">
        <f t="shared" si="53"/>
        <v/>
      </c>
    </row>
    <row r="276" spans="3:10" x14ac:dyDescent="0.25">
      <c r="C276">
        <v>263</v>
      </c>
      <c r="D276">
        <v>1</v>
      </c>
      <c r="E276">
        <v>1</v>
      </c>
      <c r="F276" s="8">
        <f t="shared" si="51"/>
        <v>0.23850730124391561</v>
      </c>
      <c r="H276" s="8" t="str">
        <f>VLOOKUP(C276,Gender!$C$3:$D$454,2,FALSE)</f>
        <v>F</v>
      </c>
      <c r="I276" s="8" t="str">
        <f t="shared" si="52"/>
        <v/>
      </c>
      <c r="J276" s="8">
        <f t="shared" si="53"/>
        <v>1</v>
      </c>
    </row>
    <row r="277" spans="3:10" x14ac:dyDescent="0.25">
      <c r="C277">
        <v>264</v>
      </c>
      <c r="D277">
        <v>3</v>
      </c>
      <c r="E277">
        <v>1</v>
      </c>
      <c r="F277" s="8">
        <f t="shared" si="51"/>
        <v>2.2850189291508922</v>
      </c>
      <c r="H277" s="8" t="str">
        <f>VLOOKUP(C277,Gender!$C$3:$D$454,2,FALSE)</f>
        <v>M</v>
      </c>
      <c r="I277" s="8">
        <f t="shared" si="52"/>
        <v>1</v>
      </c>
      <c r="J277" s="8" t="str">
        <f t="shared" si="53"/>
        <v/>
      </c>
    </row>
    <row r="278" spans="3:10" x14ac:dyDescent="0.25">
      <c r="C278">
        <v>265</v>
      </c>
      <c r="D278">
        <v>1</v>
      </c>
      <c r="E278">
        <v>1</v>
      </c>
      <c r="F278" s="8">
        <f t="shared" si="51"/>
        <v>0.23850730124391561</v>
      </c>
      <c r="H278" s="8" t="str">
        <f>VLOOKUP(C278,Gender!$C$3:$D$454,2,FALSE)</f>
        <v>M</v>
      </c>
      <c r="I278" s="8">
        <f t="shared" si="52"/>
        <v>1</v>
      </c>
      <c r="J278" s="8" t="str">
        <f t="shared" si="53"/>
        <v/>
      </c>
    </row>
    <row r="279" spans="3:10" x14ac:dyDescent="0.25">
      <c r="C279">
        <v>266</v>
      </c>
      <c r="D279">
        <v>1</v>
      </c>
      <c r="E279">
        <v>1</v>
      </c>
      <c r="F279" s="8">
        <f t="shared" si="51"/>
        <v>0.23850730124391561</v>
      </c>
      <c r="H279" s="8" t="str">
        <f>VLOOKUP(C279,Gender!$C$3:$D$454,2,FALSE)</f>
        <v>F</v>
      </c>
      <c r="I279" s="8" t="str">
        <f t="shared" si="52"/>
        <v/>
      </c>
      <c r="J279" s="8">
        <f t="shared" si="53"/>
        <v>1</v>
      </c>
    </row>
    <row r="280" spans="3:10" x14ac:dyDescent="0.25">
      <c r="C280">
        <v>267</v>
      </c>
      <c r="D280">
        <v>2</v>
      </c>
      <c r="E280">
        <v>1</v>
      </c>
      <c r="F280" s="8">
        <f t="shared" si="51"/>
        <v>0.26176311519740403</v>
      </c>
      <c r="H280" s="8" t="str">
        <f>VLOOKUP(C280,Gender!$C$3:$D$454,2,FALSE)</f>
        <v>F</v>
      </c>
      <c r="I280" s="8" t="str">
        <f t="shared" si="52"/>
        <v/>
      </c>
      <c r="J280" s="8">
        <f t="shared" si="53"/>
        <v>1</v>
      </c>
    </row>
    <row r="281" spans="3:10" x14ac:dyDescent="0.25">
      <c r="C281">
        <v>268</v>
      </c>
      <c r="D281">
        <v>1</v>
      </c>
      <c r="E281">
        <v>1</v>
      </c>
      <c r="F281" s="8">
        <f t="shared" si="51"/>
        <v>0.23850730124391561</v>
      </c>
      <c r="H281" s="8" t="str">
        <f>VLOOKUP(C281,Gender!$C$3:$D$454,2,FALSE)</f>
        <v>F</v>
      </c>
      <c r="I281" s="8" t="str">
        <f t="shared" si="52"/>
        <v/>
      </c>
      <c r="J281" s="8">
        <f t="shared" si="53"/>
        <v>1</v>
      </c>
    </row>
    <row r="282" spans="3:10" x14ac:dyDescent="0.25">
      <c r="C282">
        <v>269</v>
      </c>
      <c r="D282">
        <v>1</v>
      </c>
      <c r="E282">
        <v>1</v>
      </c>
      <c r="F282" s="8">
        <f t="shared" si="51"/>
        <v>0.23850730124391561</v>
      </c>
      <c r="H282" s="8" t="str">
        <f>VLOOKUP(C282,Gender!$C$3:$D$454,2,FALSE)</f>
        <v>M</v>
      </c>
      <c r="I282" s="8">
        <f t="shared" si="52"/>
        <v>1</v>
      </c>
      <c r="J282" s="8" t="str">
        <f t="shared" si="53"/>
        <v/>
      </c>
    </row>
    <row r="283" spans="3:10" x14ac:dyDescent="0.25">
      <c r="C283">
        <v>270</v>
      </c>
      <c r="D283">
        <v>1</v>
      </c>
      <c r="E283">
        <v>1</v>
      </c>
      <c r="F283" s="8">
        <f t="shared" si="51"/>
        <v>0.23850730124391561</v>
      </c>
      <c r="H283" s="8" t="str">
        <f>VLOOKUP(C283,Gender!$C$3:$D$454,2,FALSE)</f>
        <v>M</v>
      </c>
      <c r="I283" s="8">
        <f t="shared" si="52"/>
        <v>1</v>
      </c>
      <c r="J283" s="8" t="str">
        <f t="shared" si="53"/>
        <v/>
      </c>
    </row>
    <row r="284" spans="3:10" x14ac:dyDescent="0.25">
      <c r="C284">
        <v>271</v>
      </c>
      <c r="D284">
        <v>1</v>
      </c>
      <c r="E284">
        <v>1</v>
      </c>
      <c r="F284" s="8">
        <f t="shared" si="51"/>
        <v>0.23850730124391561</v>
      </c>
      <c r="H284" s="8" t="str">
        <f>VLOOKUP(C284,Gender!$C$3:$D$454,2,FALSE)</f>
        <v>M</v>
      </c>
      <c r="I284" s="8">
        <f t="shared" si="52"/>
        <v>1</v>
      </c>
      <c r="J284" s="8" t="str">
        <f t="shared" si="53"/>
        <v/>
      </c>
    </row>
    <row r="285" spans="3:10" x14ac:dyDescent="0.25">
      <c r="C285">
        <v>272</v>
      </c>
      <c r="D285">
        <v>1</v>
      </c>
      <c r="E285">
        <v>1</v>
      </c>
      <c r="F285" s="8">
        <f t="shared" si="51"/>
        <v>0.23850730124391561</v>
      </c>
      <c r="H285" s="8" t="str">
        <f>VLOOKUP(C285,Gender!$C$3:$D$454,2,FALSE)</f>
        <v>F</v>
      </c>
      <c r="I285" s="8" t="str">
        <f t="shared" si="52"/>
        <v/>
      </c>
      <c r="J285" s="8">
        <f t="shared" si="53"/>
        <v>1</v>
      </c>
    </row>
    <row r="286" spans="3:10" x14ac:dyDescent="0.25">
      <c r="C286">
        <v>273</v>
      </c>
      <c r="D286">
        <v>1</v>
      </c>
      <c r="E286">
        <v>2</v>
      </c>
      <c r="F286" s="8" t="str">
        <f t="shared" si="51"/>
        <v/>
      </c>
      <c r="H286" s="8" t="str">
        <f>VLOOKUP(C286,Gender!$C$3:$D$454,2,FALSE)</f>
        <v>M</v>
      </c>
      <c r="I286" s="8" t="str">
        <f t="shared" si="52"/>
        <v/>
      </c>
      <c r="J286" s="8" t="str">
        <f t="shared" si="53"/>
        <v/>
      </c>
    </row>
    <row r="287" spans="3:10" x14ac:dyDescent="0.25">
      <c r="C287">
        <v>274</v>
      </c>
      <c r="D287">
        <v>1</v>
      </c>
      <c r="E287">
        <v>1</v>
      </c>
      <c r="F287" s="8">
        <f t="shared" si="51"/>
        <v>0.23850730124391561</v>
      </c>
      <c r="H287" s="8" t="str">
        <f>VLOOKUP(C287,Gender!$C$3:$D$454,2,FALSE)</f>
        <v>M</v>
      </c>
      <c r="I287" s="8">
        <f t="shared" si="52"/>
        <v>1</v>
      </c>
      <c r="J287" s="8" t="str">
        <f t="shared" si="53"/>
        <v/>
      </c>
    </row>
    <row r="288" spans="3:10" x14ac:dyDescent="0.25">
      <c r="C288">
        <v>275</v>
      </c>
      <c r="D288">
        <v>1</v>
      </c>
      <c r="E288">
        <v>1</v>
      </c>
      <c r="F288" s="8">
        <f t="shared" si="51"/>
        <v>0.23850730124391561</v>
      </c>
      <c r="H288" s="8" t="str">
        <f>VLOOKUP(C288,Gender!$C$3:$D$454,2,FALSE)</f>
        <v>F</v>
      </c>
      <c r="I288" s="8" t="str">
        <f t="shared" si="52"/>
        <v/>
      </c>
      <c r="J288" s="8">
        <f t="shared" si="53"/>
        <v>1</v>
      </c>
    </row>
    <row r="289" spans="3:10" x14ac:dyDescent="0.25">
      <c r="C289">
        <v>276</v>
      </c>
      <c r="D289">
        <v>2</v>
      </c>
      <c r="E289">
        <v>1</v>
      </c>
      <c r="F289" s="8">
        <f t="shared" si="51"/>
        <v>0.26176311519740403</v>
      </c>
      <c r="H289" s="8" t="str">
        <f>VLOOKUP(C289,Gender!$C$3:$D$454,2,FALSE)</f>
        <v>M</v>
      </c>
      <c r="I289" s="8">
        <f t="shared" si="52"/>
        <v>1</v>
      </c>
      <c r="J289" s="8" t="str">
        <f t="shared" si="53"/>
        <v/>
      </c>
    </row>
    <row r="290" spans="3:10" x14ac:dyDescent="0.25">
      <c r="C290">
        <v>277</v>
      </c>
      <c r="D290">
        <v>1</v>
      </c>
      <c r="E290">
        <v>1</v>
      </c>
      <c r="F290" s="8">
        <f t="shared" si="51"/>
        <v>0.23850730124391561</v>
      </c>
      <c r="H290" s="8" t="str">
        <f>VLOOKUP(C290,Gender!$C$3:$D$454,2,FALSE)</f>
        <v>M</v>
      </c>
      <c r="I290" s="8">
        <f t="shared" si="52"/>
        <v>1</v>
      </c>
      <c r="J290" s="8" t="str">
        <f t="shared" si="53"/>
        <v/>
      </c>
    </row>
    <row r="291" spans="3:10" x14ac:dyDescent="0.25">
      <c r="C291">
        <v>278</v>
      </c>
      <c r="D291">
        <v>1</v>
      </c>
      <c r="E291">
        <v>4</v>
      </c>
      <c r="F291" s="8" t="str">
        <f t="shared" si="51"/>
        <v/>
      </c>
      <c r="H291" s="8" t="str">
        <f>VLOOKUP(C291,Gender!$C$3:$D$454,2,FALSE)</f>
        <v>M</v>
      </c>
      <c r="I291" s="8" t="str">
        <f t="shared" si="52"/>
        <v/>
      </c>
      <c r="J291" s="8" t="str">
        <f t="shared" si="53"/>
        <v/>
      </c>
    </row>
    <row r="292" spans="3:10" x14ac:dyDescent="0.25">
      <c r="C292">
        <v>279</v>
      </c>
      <c r="D292">
        <v>1</v>
      </c>
      <c r="E292">
        <v>2</v>
      </c>
      <c r="F292" s="8" t="str">
        <f t="shared" si="51"/>
        <v/>
      </c>
      <c r="H292" s="8" t="str">
        <f>VLOOKUP(C292,Gender!$C$3:$D$454,2,FALSE)</f>
        <v>F</v>
      </c>
      <c r="I292" s="8" t="str">
        <f t="shared" si="52"/>
        <v/>
      </c>
      <c r="J292" s="8" t="str">
        <f t="shared" si="53"/>
        <v/>
      </c>
    </row>
    <row r="293" spans="3:10" x14ac:dyDescent="0.25">
      <c r="C293">
        <v>280</v>
      </c>
      <c r="D293">
        <v>1</v>
      </c>
      <c r="E293">
        <v>2</v>
      </c>
      <c r="F293" s="8" t="str">
        <f t="shared" si="51"/>
        <v/>
      </c>
      <c r="H293" s="8" t="str">
        <f>VLOOKUP(C293,Gender!$C$3:$D$454,2,FALSE)</f>
        <v>M</v>
      </c>
      <c r="I293" s="8" t="str">
        <f t="shared" si="52"/>
        <v/>
      </c>
      <c r="J293" s="8" t="str">
        <f t="shared" si="53"/>
        <v/>
      </c>
    </row>
    <row r="294" spans="3:10" x14ac:dyDescent="0.25">
      <c r="C294">
        <v>281</v>
      </c>
      <c r="D294">
        <v>1</v>
      </c>
      <c r="E294">
        <v>2</v>
      </c>
      <c r="F294" s="8" t="str">
        <f t="shared" si="51"/>
        <v/>
      </c>
      <c r="H294" s="8" t="str">
        <f>VLOOKUP(C294,Gender!$C$3:$D$454,2,FALSE)</f>
        <v>F</v>
      </c>
      <c r="I294" s="8" t="str">
        <f t="shared" si="52"/>
        <v/>
      </c>
      <c r="J294" s="8" t="str">
        <f t="shared" si="53"/>
        <v/>
      </c>
    </row>
    <row r="295" spans="3:10" x14ac:dyDescent="0.25">
      <c r="C295">
        <v>282</v>
      </c>
      <c r="D295">
        <v>2</v>
      </c>
      <c r="E295">
        <v>1</v>
      </c>
      <c r="F295" s="8">
        <f t="shared" si="51"/>
        <v>0.26176311519740403</v>
      </c>
      <c r="H295" s="8" t="str">
        <f>VLOOKUP(C295,Gender!$C$3:$D$454,2,FALSE)</f>
        <v>M</v>
      </c>
      <c r="I295" s="8">
        <f t="shared" si="52"/>
        <v>1</v>
      </c>
      <c r="J295" s="8" t="str">
        <f t="shared" si="53"/>
        <v/>
      </c>
    </row>
    <row r="296" spans="3:10" x14ac:dyDescent="0.25">
      <c r="C296">
        <v>283</v>
      </c>
      <c r="D296">
        <v>1</v>
      </c>
      <c r="E296">
        <v>1</v>
      </c>
      <c r="F296" s="8">
        <f t="shared" si="51"/>
        <v>0.23850730124391561</v>
      </c>
      <c r="H296" s="8" t="str">
        <f>VLOOKUP(C296,Gender!$C$3:$D$454,2,FALSE)</f>
        <v>M</v>
      </c>
      <c r="I296" s="8">
        <f t="shared" si="52"/>
        <v>1</v>
      </c>
      <c r="J296" s="8" t="str">
        <f t="shared" si="53"/>
        <v/>
      </c>
    </row>
    <row r="297" spans="3:10" x14ac:dyDescent="0.25">
      <c r="C297">
        <v>284</v>
      </c>
      <c r="D297">
        <v>1</v>
      </c>
      <c r="E297">
        <v>1</v>
      </c>
      <c r="F297" s="8">
        <f t="shared" si="51"/>
        <v>0.23850730124391561</v>
      </c>
      <c r="H297" s="8" t="str">
        <f>VLOOKUP(C297,Gender!$C$3:$D$454,2,FALSE)</f>
        <v>F</v>
      </c>
      <c r="I297" s="8" t="str">
        <f t="shared" si="52"/>
        <v/>
      </c>
      <c r="J297" s="8">
        <f t="shared" si="53"/>
        <v>1</v>
      </c>
    </row>
    <row r="298" spans="3:10" x14ac:dyDescent="0.25">
      <c r="C298">
        <v>285</v>
      </c>
      <c r="D298">
        <v>1</v>
      </c>
      <c r="E298">
        <v>1</v>
      </c>
      <c r="F298" s="8">
        <f t="shared" si="51"/>
        <v>0.23850730124391561</v>
      </c>
      <c r="H298" s="8" t="str">
        <f>VLOOKUP(C298,Gender!$C$3:$D$454,2,FALSE)</f>
        <v>M</v>
      </c>
      <c r="I298" s="8">
        <f t="shared" si="52"/>
        <v>1</v>
      </c>
      <c r="J298" s="8" t="str">
        <f t="shared" si="53"/>
        <v/>
      </c>
    </row>
    <row r="299" spans="3:10" x14ac:dyDescent="0.25">
      <c r="C299">
        <v>286</v>
      </c>
      <c r="D299">
        <v>1</v>
      </c>
      <c r="E299">
        <v>1</v>
      </c>
      <c r="F299" s="8">
        <f t="shared" si="51"/>
        <v>0.23850730124391561</v>
      </c>
      <c r="H299" s="8" t="str">
        <f>VLOOKUP(C299,Gender!$C$3:$D$454,2,FALSE)</f>
        <v>F</v>
      </c>
      <c r="I299" s="8" t="str">
        <f t="shared" si="52"/>
        <v/>
      </c>
      <c r="J299" s="8">
        <f t="shared" si="53"/>
        <v>1</v>
      </c>
    </row>
    <row r="300" spans="3:10" x14ac:dyDescent="0.25">
      <c r="C300">
        <v>287</v>
      </c>
      <c r="D300">
        <v>1</v>
      </c>
      <c r="E300">
        <v>1</v>
      </c>
      <c r="F300" s="8">
        <f t="shared" si="51"/>
        <v>0.23850730124391561</v>
      </c>
      <c r="H300" s="8" t="str">
        <f>VLOOKUP(C300,Gender!$C$3:$D$454,2,FALSE)</f>
        <v>M</v>
      </c>
      <c r="I300" s="8">
        <f t="shared" si="52"/>
        <v>1</v>
      </c>
      <c r="J300" s="8" t="str">
        <f t="shared" si="53"/>
        <v/>
      </c>
    </row>
    <row r="301" spans="3:10" x14ac:dyDescent="0.25">
      <c r="C301">
        <v>288</v>
      </c>
      <c r="D301">
        <v>1</v>
      </c>
      <c r="E301">
        <v>1</v>
      </c>
      <c r="F301" s="8">
        <f t="shared" si="51"/>
        <v>0.23850730124391561</v>
      </c>
      <c r="H301" s="8" t="str">
        <f>VLOOKUP(C301,Gender!$C$3:$D$454,2,FALSE)</f>
        <v>M</v>
      </c>
      <c r="I301" s="8">
        <f t="shared" si="52"/>
        <v>1</v>
      </c>
      <c r="J301" s="8" t="str">
        <f t="shared" si="53"/>
        <v/>
      </c>
    </row>
    <row r="302" spans="3:10" x14ac:dyDescent="0.25">
      <c r="C302">
        <v>289</v>
      </c>
      <c r="D302">
        <v>2</v>
      </c>
      <c r="E302">
        <v>1</v>
      </c>
      <c r="F302" s="8">
        <f t="shared" si="51"/>
        <v>0.26176311519740403</v>
      </c>
      <c r="H302" s="8" t="str">
        <f>VLOOKUP(C302,Gender!$C$3:$D$454,2,FALSE)</f>
        <v>M</v>
      </c>
      <c r="I302" s="8">
        <f t="shared" si="52"/>
        <v>1</v>
      </c>
      <c r="J302" s="8" t="str">
        <f t="shared" si="53"/>
        <v/>
      </c>
    </row>
    <row r="303" spans="3:10" x14ac:dyDescent="0.25">
      <c r="C303">
        <v>290</v>
      </c>
      <c r="D303">
        <v>1</v>
      </c>
      <c r="E303">
        <v>1</v>
      </c>
      <c r="F303" s="8">
        <f t="shared" si="51"/>
        <v>0.23850730124391561</v>
      </c>
      <c r="H303" s="8" t="str">
        <f>VLOOKUP(C303,Gender!$C$3:$D$454,2,FALSE)</f>
        <v>M</v>
      </c>
      <c r="I303" s="8">
        <f t="shared" si="52"/>
        <v>1</v>
      </c>
      <c r="J303" s="8" t="str">
        <f t="shared" si="53"/>
        <v/>
      </c>
    </row>
    <row r="304" spans="3:10" x14ac:dyDescent="0.25">
      <c r="C304">
        <v>291</v>
      </c>
      <c r="D304">
        <v>1</v>
      </c>
      <c r="E304">
        <v>1</v>
      </c>
      <c r="F304" s="8">
        <f t="shared" si="51"/>
        <v>0.23850730124391561</v>
      </c>
      <c r="H304" s="8" t="str">
        <f>VLOOKUP(C304,Gender!$C$3:$D$454,2,FALSE)</f>
        <v>F</v>
      </c>
      <c r="I304" s="8" t="str">
        <f t="shared" si="52"/>
        <v/>
      </c>
      <c r="J304" s="8">
        <f t="shared" si="53"/>
        <v>1</v>
      </c>
    </row>
    <row r="305" spans="3:10" x14ac:dyDescent="0.25">
      <c r="C305">
        <v>292</v>
      </c>
      <c r="D305">
        <v>1</v>
      </c>
      <c r="E305">
        <v>1</v>
      </c>
      <c r="F305" s="8">
        <f t="shared" si="51"/>
        <v>0.23850730124391561</v>
      </c>
      <c r="H305" s="8" t="str">
        <f>VLOOKUP(C305,Gender!$C$3:$D$454,2,FALSE)</f>
        <v>M</v>
      </c>
      <c r="I305" s="8">
        <f t="shared" si="52"/>
        <v>1</v>
      </c>
      <c r="J305" s="8" t="str">
        <f t="shared" si="53"/>
        <v/>
      </c>
    </row>
    <row r="306" spans="3:10" x14ac:dyDescent="0.25">
      <c r="C306">
        <v>293</v>
      </c>
      <c r="D306">
        <v>1</v>
      </c>
      <c r="E306">
        <v>2</v>
      </c>
      <c r="F306" s="8" t="str">
        <f t="shared" si="51"/>
        <v/>
      </c>
      <c r="H306" s="8" t="str">
        <f>VLOOKUP(C306,Gender!$C$3:$D$454,2,FALSE)</f>
        <v>F</v>
      </c>
      <c r="I306" s="8" t="str">
        <f t="shared" si="52"/>
        <v/>
      </c>
      <c r="J306" s="8" t="str">
        <f t="shared" si="53"/>
        <v/>
      </c>
    </row>
    <row r="307" spans="3:10" x14ac:dyDescent="0.25">
      <c r="C307">
        <v>294</v>
      </c>
      <c r="D307">
        <v>1</v>
      </c>
      <c r="E307">
        <v>2</v>
      </c>
      <c r="F307" s="8" t="str">
        <f t="shared" si="51"/>
        <v/>
      </c>
      <c r="H307" s="8" t="str">
        <f>VLOOKUP(C307,Gender!$C$3:$D$454,2,FALSE)</f>
        <v>M</v>
      </c>
      <c r="I307" s="8" t="str">
        <f t="shared" si="52"/>
        <v/>
      </c>
      <c r="J307" s="8" t="str">
        <f t="shared" si="53"/>
        <v/>
      </c>
    </row>
    <row r="308" spans="3:10" x14ac:dyDescent="0.25">
      <c r="C308">
        <v>295</v>
      </c>
      <c r="D308">
        <v>1</v>
      </c>
      <c r="E308">
        <v>1</v>
      </c>
      <c r="F308" s="8">
        <f t="shared" si="51"/>
        <v>0.23850730124391561</v>
      </c>
      <c r="H308" s="8" t="str">
        <f>VLOOKUP(C308,Gender!$C$3:$D$454,2,FALSE)</f>
        <v>M</v>
      </c>
      <c r="I308" s="8">
        <f t="shared" si="52"/>
        <v>1</v>
      </c>
      <c r="J308" s="8" t="str">
        <f t="shared" si="53"/>
        <v/>
      </c>
    </row>
    <row r="309" spans="3:10" x14ac:dyDescent="0.25">
      <c r="C309">
        <v>296</v>
      </c>
      <c r="D309">
        <v>4</v>
      </c>
      <c r="E309">
        <v>1</v>
      </c>
      <c r="F309" s="8">
        <f t="shared" si="51"/>
        <v>6.3082747431043806</v>
      </c>
      <c r="H309" s="8" t="str">
        <f>VLOOKUP(C309,Gender!$C$3:$D$454,2,FALSE)</f>
        <v>M</v>
      </c>
      <c r="I309" s="8">
        <f t="shared" si="52"/>
        <v>1</v>
      </c>
      <c r="J309" s="8" t="str">
        <f t="shared" si="53"/>
        <v/>
      </c>
    </row>
    <row r="310" spans="3:10" x14ac:dyDescent="0.25">
      <c r="C310">
        <v>297</v>
      </c>
      <c r="D310">
        <v>1</v>
      </c>
      <c r="E310">
        <v>1</v>
      </c>
      <c r="F310" s="8">
        <f t="shared" si="51"/>
        <v>0.23850730124391561</v>
      </c>
      <c r="H310" s="8" t="str">
        <f>VLOOKUP(C310,Gender!$C$3:$D$454,2,FALSE)</f>
        <v>F</v>
      </c>
      <c r="I310" s="8" t="str">
        <f t="shared" si="52"/>
        <v/>
      </c>
      <c r="J310" s="8">
        <f t="shared" si="53"/>
        <v>1</v>
      </c>
    </row>
    <row r="311" spans="3:10" x14ac:dyDescent="0.25">
      <c r="C311">
        <v>298</v>
      </c>
      <c r="D311">
        <v>1</v>
      </c>
      <c r="E311">
        <v>1</v>
      </c>
      <c r="F311" s="8">
        <f t="shared" si="51"/>
        <v>0.23850730124391561</v>
      </c>
      <c r="H311" s="8" t="str">
        <f>VLOOKUP(C311,Gender!$C$3:$D$454,2,FALSE)</f>
        <v>F</v>
      </c>
      <c r="I311" s="8" t="str">
        <f t="shared" si="52"/>
        <v/>
      </c>
      <c r="J311" s="8">
        <f t="shared" si="53"/>
        <v>1</v>
      </c>
    </row>
    <row r="312" spans="3:10" x14ac:dyDescent="0.25">
      <c r="C312">
        <v>299</v>
      </c>
      <c r="D312">
        <v>1</v>
      </c>
      <c r="E312">
        <v>1</v>
      </c>
      <c r="F312" s="8">
        <f t="shared" si="51"/>
        <v>0.23850730124391561</v>
      </c>
      <c r="H312" s="8" t="str">
        <f>VLOOKUP(C312,Gender!$C$3:$D$454,2,FALSE)</f>
        <v>M</v>
      </c>
      <c r="I312" s="8">
        <f t="shared" si="52"/>
        <v>1</v>
      </c>
      <c r="J312" s="8" t="str">
        <f t="shared" si="53"/>
        <v/>
      </c>
    </row>
  </sheetData>
  <mergeCells count="6">
    <mergeCell ref="AM11:AO11"/>
    <mergeCell ref="A12:B13"/>
    <mergeCell ref="C11:E11"/>
    <mergeCell ref="L11:N11"/>
    <mergeCell ref="U11:W11"/>
    <mergeCell ref="AD11:AF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61D5-C246-412F-9D3D-3A2A60C7232B}">
  <dimension ref="C1:N454"/>
  <sheetViews>
    <sheetView workbookViewId="0">
      <selection activeCell="K20" sqref="K20"/>
    </sheetView>
  </sheetViews>
  <sheetFormatPr defaultRowHeight="15" x14ac:dyDescent="0.25"/>
  <cols>
    <col min="3" max="3" width="8.85546875" style="26"/>
    <col min="12" max="12" width="23" bestFit="1" customWidth="1"/>
  </cols>
  <sheetData>
    <row r="1" spans="3:14" x14ac:dyDescent="0.25">
      <c r="C1" s="48" t="s">
        <v>25</v>
      </c>
      <c r="D1" s="49"/>
      <c r="G1" t="s">
        <v>26</v>
      </c>
      <c r="H1" t="s">
        <v>26</v>
      </c>
      <c r="I1" t="s">
        <v>27</v>
      </c>
    </row>
    <row r="2" spans="3:14" x14ac:dyDescent="0.25">
      <c r="C2" s="26" t="s">
        <v>1</v>
      </c>
      <c r="D2" t="s">
        <v>27</v>
      </c>
      <c r="G2">
        <v>81</v>
      </c>
      <c r="H2" s="26">
        <v>0</v>
      </c>
      <c r="I2" s="26" t="s">
        <v>28</v>
      </c>
    </row>
    <row r="3" spans="3:14" x14ac:dyDescent="0.25">
      <c r="C3" s="26">
        <v>0</v>
      </c>
      <c r="D3" t="str">
        <f t="shared" ref="D3:D66" si="0">VLOOKUP(G2,$H$2:$I$454,2,FALSE)</f>
        <v>M</v>
      </c>
      <c r="G3">
        <v>11</v>
      </c>
      <c r="H3" s="26">
        <v>1</v>
      </c>
      <c r="I3" s="26" t="s">
        <v>29</v>
      </c>
      <c r="L3" t="s">
        <v>33</v>
      </c>
      <c r="M3">
        <f>COUNTIF(D3:D302,"M")</f>
        <v>211</v>
      </c>
      <c r="N3" s="27">
        <f>M3/300</f>
        <v>0.70333333333333337</v>
      </c>
    </row>
    <row r="4" spans="3:14" x14ac:dyDescent="0.25">
      <c r="C4" s="26">
        <v>1</v>
      </c>
      <c r="D4" t="str">
        <f t="shared" si="0"/>
        <v>F</v>
      </c>
      <c r="G4">
        <v>109</v>
      </c>
      <c r="H4" s="26">
        <v>2</v>
      </c>
      <c r="I4" s="26" t="s">
        <v>28</v>
      </c>
      <c r="L4" t="s">
        <v>34</v>
      </c>
      <c r="M4">
        <f>300-M3</f>
        <v>89</v>
      </c>
      <c r="N4" s="27">
        <f>M4/300</f>
        <v>0.29666666666666669</v>
      </c>
    </row>
    <row r="5" spans="3:14" x14ac:dyDescent="0.25">
      <c r="C5" s="26">
        <v>2</v>
      </c>
      <c r="D5" t="str">
        <f t="shared" si="0"/>
        <v>M</v>
      </c>
      <c r="G5">
        <v>52</v>
      </c>
      <c r="H5" s="26">
        <v>3</v>
      </c>
      <c r="I5" s="26" t="s">
        <v>28</v>
      </c>
    </row>
    <row r="6" spans="3:14" x14ac:dyDescent="0.25">
      <c r="C6" s="26">
        <v>3</v>
      </c>
      <c r="D6" t="str">
        <f t="shared" si="0"/>
        <v>M</v>
      </c>
      <c r="G6">
        <v>138</v>
      </c>
      <c r="H6" s="26">
        <v>4</v>
      </c>
      <c r="I6" s="26" t="s">
        <v>29</v>
      </c>
    </row>
    <row r="7" spans="3:14" x14ac:dyDescent="0.25">
      <c r="C7" s="26">
        <v>4</v>
      </c>
      <c r="D7" t="str">
        <f t="shared" si="0"/>
        <v>M</v>
      </c>
      <c r="G7">
        <v>3</v>
      </c>
      <c r="H7" s="26">
        <v>5</v>
      </c>
      <c r="I7" s="26" t="s">
        <v>28</v>
      </c>
    </row>
    <row r="8" spans="3:14" x14ac:dyDescent="0.25">
      <c r="C8" s="26">
        <v>5</v>
      </c>
      <c r="D8" t="str">
        <f t="shared" si="0"/>
        <v>M</v>
      </c>
      <c r="G8">
        <v>25</v>
      </c>
      <c r="H8" s="26">
        <v>6</v>
      </c>
      <c r="I8" s="26" t="s">
        <v>28</v>
      </c>
    </row>
    <row r="9" spans="3:14" x14ac:dyDescent="0.25">
      <c r="C9" s="26">
        <v>6</v>
      </c>
      <c r="D9" t="str">
        <f t="shared" si="0"/>
        <v>M</v>
      </c>
      <c r="G9">
        <v>127</v>
      </c>
      <c r="H9" s="26">
        <v>7</v>
      </c>
      <c r="I9" s="26" t="s">
        <v>28</v>
      </c>
    </row>
    <row r="10" spans="3:14" x14ac:dyDescent="0.25">
      <c r="C10" s="26">
        <v>7</v>
      </c>
      <c r="D10" t="str">
        <f t="shared" si="0"/>
        <v>F</v>
      </c>
      <c r="G10">
        <v>91</v>
      </c>
      <c r="H10" s="26">
        <v>8</v>
      </c>
      <c r="I10" s="26" t="s">
        <v>28</v>
      </c>
    </row>
    <row r="11" spans="3:14" x14ac:dyDescent="0.25">
      <c r="C11" s="26">
        <v>8</v>
      </c>
      <c r="D11" t="str">
        <f t="shared" si="0"/>
        <v>M</v>
      </c>
      <c r="G11">
        <v>102</v>
      </c>
      <c r="H11" s="26">
        <v>9</v>
      </c>
      <c r="I11" s="26" t="s">
        <v>28</v>
      </c>
    </row>
    <row r="12" spans="3:14" x14ac:dyDescent="0.25">
      <c r="C12" s="26">
        <v>9</v>
      </c>
      <c r="D12" t="str">
        <f t="shared" si="0"/>
        <v>M</v>
      </c>
      <c r="G12">
        <v>137</v>
      </c>
      <c r="H12" s="26">
        <v>10</v>
      </c>
      <c r="I12" s="26" t="s">
        <v>29</v>
      </c>
    </row>
    <row r="13" spans="3:14" x14ac:dyDescent="0.25">
      <c r="C13" s="26">
        <v>10</v>
      </c>
      <c r="D13" t="str">
        <f t="shared" si="0"/>
        <v>M</v>
      </c>
      <c r="G13">
        <v>86</v>
      </c>
      <c r="H13" s="26">
        <v>11</v>
      </c>
      <c r="I13" s="26" t="s">
        <v>29</v>
      </c>
    </row>
    <row r="14" spans="3:14" x14ac:dyDescent="0.25">
      <c r="C14" s="26">
        <v>11</v>
      </c>
      <c r="D14" t="str">
        <f t="shared" si="0"/>
        <v>M</v>
      </c>
      <c r="G14">
        <v>130</v>
      </c>
      <c r="H14" s="26">
        <v>12</v>
      </c>
      <c r="I14" s="26" t="s">
        <v>28</v>
      </c>
    </row>
    <row r="15" spans="3:14" x14ac:dyDescent="0.25">
      <c r="C15" s="26">
        <v>12</v>
      </c>
      <c r="D15" t="str">
        <f t="shared" si="0"/>
        <v>F</v>
      </c>
      <c r="G15">
        <v>106</v>
      </c>
      <c r="H15" s="26">
        <v>13</v>
      </c>
      <c r="I15" s="26" t="s">
        <v>28</v>
      </c>
    </row>
    <row r="16" spans="3:14" x14ac:dyDescent="0.25">
      <c r="C16" s="26">
        <v>13</v>
      </c>
      <c r="D16" t="str">
        <f t="shared" si="0"/>
        <v>M</v>
      </c>
      <c r="G16">
        <v>54</v>
      </c>
      <c r="H16" s="26">
        <v>14</v>
      </c>
      <c r="I16" s="26" t="s">
        <v>29</v>
      </c>
    </row>
    <row r="17" spans="3:9" x14ac:dyDescent="0.25">
      <c r="C17" s="26">
        <v>14</v>
      </c>
      <c r="D17" t="str">
        <f t="shared" si="0"/>
        <v>M</v>
      </c>
      <c r="G17">
        <v>71</v>
      </c>
      <c r="H17" s="26">
        <v>15</v>
      </c>
      <c r="I17" s="26" t="s">
        <v>28</v>
      </c>
    </row>
    <row r="18" spans="3:9" x14ac:dyDescent="0.25">
      <c r="C18" s="26">
        <v>15</v>
      </c>
      <c r="D18" t="str">
        <f t="shared" si="0"/>
        <v>F</v>
      </c>
      <c r="G18">
        <v>135</v>
      </c>
      <c r="H18" s="26">
        <v>16</v>
      </c>
      <c r="I18" s="26" t="s">
        <v>28</v>
      </c>
    </row>
    <row r="19" spans="3:9" x14ac:dyDescent="0.25">
      <c r="C19" s="26">
        <v>16</v>
      </c>
      <c r="D19" t="str">
        <f t="shared" si="0"/>
        <v>M</v>
      </c>
      <c r="G19">
        <v>139</v>
      </c>
      <c r="H19" s="26">
        <v>17</v>
      </c>
      <c r="I19" s="26" t="s">
        <v>29</v>
      </c>
    </row>
    <row r="20" spans="3:9" x14ac:dyDescent="0.25">
      <c r="C20" s="26">
        <v>17</v>
      </c>
      <c r="D20" t="str">
        <f t="shared" si="0"/>
        <v>F</v>
      </c>
      <c r="G20">
        <v>44</v>
      </c>
      <c r="H20" s="26">
        <v>18</v>
      </c>
      <c r="I20" s="26" t="s">
        <v>28</v>
      </c>
    </row>
    <row r="21" spans="3:9" x14ac:dyDescent="0.25">
      <c r="C21" s="26">
        <v>18</v>
      </c>
      <c r="D21" t="str">
        <f t="shared" si="0"/>
        <v>M</v>
      </c>
      <c r="G21">
        <v>14</v>
      </c>
      <c r="H21" s="26">
        <v>19</v>
      </c>
      <c r="I21" s="26" t="s">
        <v>29</v>
      </c>
    </row>
    <row r="22" spans="3:9" x14ac:dyDescent="0.25">
      <c r="C22" s="26">
        <v>19</v>
      </c>
      <c r="D22" t="str">
        <f t="shared" si="0"/>
        <v>F</v>
      </c>
      <c r="G22">
        <v>48</v>
      </c>
      <c r="H22" s="26">
        <v>20</v>
      </c>
      <c r="I22" s="26" t="s">
        <v>28</v>
      </c>
    </row>
    <row r="23" spans="3:9" x14ac:dyDescent="0.25">
      <c r="C23" s="26">
        <v>20</v>
      </c>
      <c r="D23" t="str">
        <f t="shared" si="0"/>
        <v>F</v>
      </c>
      <c r="G23">
        <v>26</v>
      </c>
      <c r="H23" s="26">
        <v>21</v>
      </c>
      <c r="I23" s="26" t="s">
        <v>28</v>
      </c>
    </row>
    <row r="24" spans="3:9" x14ac:dyDescent="0.25">
      <c r="C24" s="26">
        <v>21</v>
      </c>
      <c r="D24" t="str">
        <f t="shared" si="0"/>
        <v>F</v>
      </c>
      <c r="G24">
        <v>69</v>
      </c>
      <c r="H24" s="26">
        <v>22</v>
      </c>
      <c r="I24" s="26" t="s">
        <v>29</v>
      </c>
    </row>
    <row r="25" spans="3:9" x14ac:dyDescent="0.25">
      <c r="C25" s="26">
        <v>22</v>
      </c>
      <c r="D25" t="str">
        <f t="shared" si="0"/>
        <v>M</v>
      </c>
      <c r="G25">
        <v>136</v>
      </c>
      <c r="H25" s="26">
        <v>23</v>
      </c>
      <c r="I25" s="26" t="s">
        <v>29</v>
      </c>
    </row>
    <row r="26" spans="3:9" x14ac:dyDescent="0.25">
      <c r="C26" s="26">
        <v>23</v>
      </c>
      <c r="D26" t="str">
        <f t="shared" si="0"/>
        <v>M</v>
      </c>
      <c r="G26">
        <v>129</v>
      </c>
      <c r="H26" s="26">
        <v>24</v>
      </c>
      <c r="I26" s="26" t="s">
        <v>28</v>
      </c>
    </row>
    <row r="27" spans="3:9" x14ac:dyDescent="0.25">
      <c r="C27" s="26">
        <v>24</v>
      </c>
      <c r="D27" t="str">
        <f t="shared" si="0"/>
        <v>M</v>
      </c>
      <c r="G27">
        <v>78</v>
      </c>
      <c r="H27" s="26">
        <v>25</v>
      </c>
      <c r="I27" s="26" t="s">
        <v>28</v>
      </c>
    </row>
    <row r="28" spans="3:9" x14ac:dyDescent="0.25">
      <c r="C28" s="26">
        <v>25</v>
      </c>
      <c r="D28" t="str">
        <f t="shared" si="0"/>
        <v>F</v>
      </c>
      <c r="G28">
        <v>124</v>
      </c>
      <c r="H28" s="26">
        <v>26</v>
      </c>
      <c r="I28" s="26" t="s">
        <v>29</v>
      </c>
    </row>
    <row r="29" spans="3:9" x14ac:dyDescent="0.25">
      <c r="C29" s="26">
        <v>26</v>
      </c>
      <c r="D29" t="str">
        <f t="shared" si="0"/>
        <v>M</v>
      </c>
      <c r="G29">
        <v>4</v>
      </c>
      <c r="H29" s="26">
        <v>27</v>
      </c>
      <c r="I29" s="26" t="s">
        <v>28</v>
      </c>
    </row>
    <row r="30" spans="3:9" x14ac:dyDescent="0.25">
      <c r="C30" s="26">
        <v>27</v>
      </c>
      <c r="D30" t="str">
        <f t="shared" si="0"/>
        <v>F</v>
      </c>
      <c r="G30">
        <v>92</v>
      </c>
      <c r="H30" s="26">
        <v>28</v>
      </c>
      <c r="I30" s="26" t="s">
        <v>28</v>
      </c>
    </row>
    <row r="31" spans="3:9" x14ac:dyDescent="0.25">
      <c r="C31" s="26">
        <v>28</v>
      </c>
      <c r="D31" t="str">
        <f t="shared" si="0"/>
        <v>M</v>
      </c>
      <c r="G31">
        <v>110</v>
      </c>
      <c r="H31" s="26">
        <v>29</v>
      </c>
      <c r="I31" s="26" t="s">
        <v>28</v>
      </c>
    </row>
    <row r="32" spans="3:9" x14ac:dyDescent="0.25">
      <c r="C32" s="26">
        <v>29</v>
      </c>
      <c r="D32" t="str">
        <f t="shared" si="0"/>
        <v>M</v>
      </c>
      <c r="G32">
        <v>45</v>
      </c>
      <c r="H32" s="26">
        <v>30</v>
      </c>
      <c r="I32" s="26" t="s">
        <v>28</v>
      </c>
    </row>
    <row r="33" spans="3:9" x14ac:dyDescent="0.25">
      <c r="C33" s="26">
        <v>30</v>
      </c>
      <c r="D33" t="str">
        <f t="shared" si="0"/>
        <v>F</v>
      </c>
      <c r="G33">
        <v>75</v>
      </c>
      <c r="H33" s="26">
        <v>31</v>
      </c>
      <c r="I33" s="26" t="s">
        <v>29</v>
      </c>
    </row>
    <row r="34" spans="3:9" x14ac:dyDescent="0.25">
      <c r="C34" s="26">
        <v>31</v>
      </c>
      <c r="D34" t="str">
        <f t="shared" si="0"/>
        <v>M</v>
      </c>
      <c r="G34">
        <v>35</v>
      </c>
      <c r="H34" s="26">
        <v>32</v>
      </c>
      <c r="I34" s="26" t="s">
        <v>28</v>
      </c>
    </row>
    <row r="35" spans="3:9" x14ac:dyDescent="0.25">
      <c r="C35" s="26">
        <v>32</v>
      </c>
      <c r="D35" t="str">
        <f t="shared" si="0"/>
        <v>F</v>
      </c>
      <c r="G35">
        <v>24</v>
      </c>
      <c r="H35" s="26">
        <v>33</v>
      </c>
      <c r="I35" s="26" t="s">
        <v>29</v>
      </c>
    </row>
    <row r="36" spans="3:9" x14ac:dyDescent="0.25">
      <c r="C36" s="26">
        <v>33</v>
      </c>
      <c r="D36" t="str">
        <f t="shared" si="0"/>
        <v>M</v>
      </c>
      <c r="G36">
        <v>30</v>
      </c>
      <c r="H36" s="26">
        <v>34</v>
      </c>
      <c r="I36" s="26" t="s">
        <v>29</v>
      </c>
    </row>
    <row r="37" spans="3:9" x14ac:dyDescent="0.25">
      <c r="C37" s="26">
        <v>34</v>
      </c>
      <c r="D37" t="str">
        <f t="shared" si="0"/>
        <v>M</v>
      </c>
      <c r="G37">
        <v>39</v>
      </c>
      <c r="H37" s="26">
        <v>35</v>
      </c>
      <c r="I37" s="26" t="s">
        <v>29</v>
      </c>
    </row>
    <row r="38" spans="3:9" x14ac:dyDescent="0.25">
      <c r="C38" s="26">
        <v>35</v>
      </c>
      <c r="D38" t="str">
        <f t="shared" si="0"/>
        <v>M</v>
      </c>
      <c r="G38">
        <v>16</v>
      </c>
      <c r="H38" s="26">
        <v>36</v>
      </c>
      <c r="I38" s="26" t="s">
        <v>28</v>
      </c>
    </row>
    <row r="39" spans="3:9" x14ac:dyDescent="0.25">
      <c r="C39" s="26">
        <v>36</v>
      </c>
      <c r="D39" t="str">
        <f t="shared" si="0"/>
        <v>M</v>
      </c>
      <c r="G39">
        <v>9</v>
      </c>
      <c r="H39" s="26">
        <v>37</v>
      </c>
      <c r="I39" s="26" t="s">
        <v>29</v>
      </c>
    </row>
    <row r="40" spans="3:9" x14ac:dyDescent="0.25">
      <c r="C40" s="26">
        <v>37</v>
      </c>
      <c r="D40" t="str">
        <f t="shared" si="0"/>
        <v>M</v>
      </c>
      <c r="G40">
        <v>6</v>
      </c>
      <c r="H40" s="26">
        <v>38</v>
      </c>
      <c r="I40" s="26" t="s">
        <v>28</v>
      </c>
    </row>
    <row r="41" spans="3:9" x14ac:dyDescent="0.25">
      <c r="C41" s="26">
        <v>38</v>
      </c>
      <c r="D41" t="str">
        <f t="shared" si="0"/>
        <v>M</v>
      </c>
      <c r="G41">
        <v>22</v>
      </c>
      <c r="H41" s="26">
        <v>39</v>
      </c>
      <c r="I41" s="26" t="s">
        <v>28</v>
      </c>
    </row>
    <row r="42" spans="3:9" x14ac:dyDescent="0.25">
      <c r="C42" s="26">
        <v>39</v>
      </c>
      <c r="D42" t="str">
        <f t="shared" si="0"/>
        <v>F</v>
      </c>
      <c r="G42">
        <v>101</v>
      </c>
      <c r="H42" s="26">
        <v>40</v>
      </c>
      <c r="I42" s="26" t="s">
        <v>28</v>
      </c>
    </row>
    <row r="43" spans="3:9" x14ac:dyDescent="0.25">
      <c r="C43" s="26">
        <v>40</v>
      </c>
      <c r="D43" t="str">
        <f t="shared" si="0"/>
        <v>M</v>
      </c>
      <c r="G43">
        <v>83</v>
      </c>
      <c r="H43" s="26">
        <v>41</v>
      </c>
      <c r="I43" s="26" t="s">
        <v>28</v>
      </c>
    </row>
    <row r="44" spans="3:9" x14ac:dyDescent="0.25">
      <c r="C44" s="26">
        <v>41</v>
      </c>
      <c r="D44" t="str">
        <f t="shared" si="0"/>
        <v>M</v>
      </c>
      <c r="G44">
        <v>42</v>
      </c>
      <c r="H44" s="26">
        <v>42</v>
      </c>
      <c r="I44" s="26" t="s">
        <v>29</v>
      </c>
    </row>
    <row r="45" spans="3:9" x14ac:dyDescent="0.25">
      <c r="C45" s="26">
        <v>42</v>
      </c>
      <c r="D45" t="str">
        <f t="shared" si="0"/>
        <v>F</v>
      </c>
      <c r="G45">
        <v>113</v>
      </c>
      <c r="H45" s="26">
        <v>43</v>
      </c>
      <c r="I45" s="26" t="s">
        <v>28</v>
      </c>
    </row>
    <row r="46" spans="3:9" x14ac:dyDescent="0.25">
      <c r="C46" s="26">
        <v>43</v>
      </c>
      <c r="D46" t="str">
        <f t="shared" si="0"/>
        <v>M</v>
      </c>
      <c r="G46">
        <v>131</v>
      </c>
      <c r="H46" s="26">
        <v>44</v>
      </c>
      <c r="I46" s="26" t="s">
        <v>28</v>
      </c>
    </row>
    <row r="47" spans="3:9" x14ac:dyDescent="0.25">
      <c r="C47" s="26">
        <v>44</v>
      </c>
      <c r="D47" t="str">
        <f t="shared" si="0"/>
        <v>M</v>
      </c>
      <c r="G47">
        <v>100</v>
      </c>
      <c r="H47" s="26">
        <v>45</v>
      </c>
      <c r="I47" s="26" t="s">
        <v>29</v>
      </c>
    </row>
    <row r="48" spans="3:9" x14ac:dyDescent="0.25">
      <c r="C48" s="26">
        <v>45</v>
      </c>
      <c r="D48" t="str">
        <f t="shared" si="0"/>
        <v>M</v>
      </c>
      <c r="G48">
        <v>5</v>
      </c>
      <c r="H48" s="26">
        <v>46</v>
      </c>
      <c r="I48" s="26" t="s">
        <v>28</v>
      </c>
    </row>
    <row r="49" spans="3:9" x14ac:dyDescent="0.25">
      <c r="C49" s="26">
        <v>46</v>
      </c>
      <c r="D49" t="str">
        <f t="shared" si="0"/>
        <v>M</v>
      </c>
      <c r="G49">
        <v>125</v>
      </c>
      <c r="H49" s="26">
        <v>47</v>
      </c>
      <c r="I49" s="26" t="s">
        <v>28</v>
      </c>
    </row>
    <row r="50" spans="3:9" x14ac:dyDescent="0.25">
      <c r="C50" s="26">
        <v>47</v>
      </c>
      <c r="D50" t="str">
        <f t="shared" si="0"/>
        <v>F</v>
      </c>
      <c r="G50">
        <v>62</v>
      </c>
      <c r="H50" s="26">
        <v>48</v>
      </c>
      <c r="I50" s="26" t="s">
        <v>29</v>
      </c>
    </row>
    <row r="51" spans="3:9" x14ac:dyDescent="0.25">
      <c r="C51" s="26">
        <v>48</v>
      </c>
      <c r="D51" t="str">
        <f t="shared" si="0"/>
        <v>M</v>
      </c>
      <c r="G51">
        <v>40</v>
      </c>
      <c r="H51" s="26">
        <v>49</v>
      </c>
      <c r="I51" s="26" t="s">
        <v>28</v>
      </c>
    </row>
    <row r="52" spans="3:9" x14ac:dyDescent="0.25">
      <c r="C52" s="26">
        <v>49</v>
      </c>
      <c r="D52" t="str">
        <f t="shared" si="0"/>
        <v>M</v>
      </c>
      <c r="G52">
        <v>97</v>
      </c>
      <c r="H52" s="26">
        <v>50</v>
      </c>
      <c r="I52" s="26" t="s">
        <v>28</v>
      </c>
    </row>
    <row r="53" spans="3:9" x14ac:dyDescent="0.25">
      <c r="C53" s="26">
        <v>50</v>
      </c>
      <c r="D53" t="str">
        <f t="shared" si="0"/>
        <v>F</v>
      </c>
      <c r="G53">
        <v>112</v>
      </c>
      <c r="H53" s="26">
        <v>51</v>
      </c>
      <c r="I53" s="26" t="s">
        <v>29</v>
      </c>
    </row>
    <row r="54" spans="3:9" x14ac:dyDescent="0.25">
      <c r="C54" s="26">
        <v>51</v>
      </c>
      <c r="D54" t="str">
        <f t="shared" si="0"/>
        <v>M</v>
      </c>
      <c r="G54">
        <v>122</v>
      </c>
      <c r="H54" s="26">
        <v>52</v>
      </c>
      <c r="I54" s="26" t="s">
        <v>28</v>
      </c>
    </row>
    <row r="55" spans="3:9" x14ac:dyDescent="0.25">
      <c r="C55" s="26">
        <v>52</v>
      </c>
      <c r="D55" t="str">
        <f t="shared" si="0"/>
        <v>F</v>
      </c>
      <c r="G55">
        <v>119</v>
      </c>
      <c r="H55" s="26">
        <v>53</v>
      </c>
      <c r="I55" s="26" t="s">
        <v>28</v>
      </c>
    </row>
    <row r="56" spans="3:9" x14ac:dyDescent="0.25">
      <c r="C56" s="26">
        <v>53</v>
      </c>
      <c r="D56" t="str">
        <f t="shared" si="0"/>
        <v>F</v>
      </c>
      <c r="G56">
        <v>89</v>
      </c>
      <c r="H56" s="26">
        <v>54</v>
      </c>
      <c r="I56" s="26" t="s">
        <v>28</v>
      </c>
    </row>
    <row r="57" spans="3:9" x14ac:dyDescent="0.25">
      <c r="C57" s="26">
        <v>54</v>
      </c>
      <c r="D57" t="str">
        <f t="shared" si="0"/>
        <v>M</v>
      </c>
      <c r="G57">
        <v>72</v>
      </c>
      <c r="H57" s="26">
        <v>55</v>
      </c>
      <c r="I57" s="26" t="s">
        <v>28</v>
      </c>
    </row>
    <row r="58" spans="3:9" x14ac:dyDescent="0.25">
      <c r="C58" s="26">
        <v>55</v>
      </c>
      <c r="D58" t="str">
        <f t="shared" si="0"/>
        <v>M</v>
      </c>
      <c r="G58">
        <v>51</v>
      </c>
      <c r="H58" s="26">
        <v>56</v>
      </c>
      <c r="I58" s="26" t="s">
        <v>28</v>
      </c>
    </row>
    <row r="59" spans="3:9" x14ac:dyDescent="0.25">
      <c r="C59" s="26">
        <v>56</v>
      </c>
      <c r="D59" t="str">
        <f t="shared" si="0"/>
        <v>F</v>
      </c>
      <c r="G59">
        <v>23</v>
      </c>
      <c r="H59" s="26">
        <v>57</v>
      </c>
      <c r="I59" s="26" t="s">
        <v>28</v>
      </c>
    </row>
    <row r="60" spans="3:9" x14ac:dyDescent="0.25">
      <c r="C60" s="26">
        <v>57</v>
      </c>
      <c r="D60" t="str">
        <f t="shared" si="0"/>
        <v>F</v>
      </c>
      <c r="G60">
        <v>43</v>
      </c>
      <c r="H60" s="26">
        <v>58</v>
      </c>
      <c r="I60" s="26" t="s">
        <v>28</v>
      </c>
    </row>
    <row r="61" spans="3:9" x14ac:dyDescent="0.25">
      <c r="C61" s="26">
        <v>58</v>
      </c>
      <c r="D61" t="str">
        <f t="shared" si="0"/>
        <v>M</v>
      </c>
      <c r="G61">
        <v>57</v>
      </c>
      <c r="H61" s="26">
        <v>59</v>
      </c>
      <c r="I61" s="26" t="s">
        <v>28</v>
      </c>
    </row>
    <row r="62" spans="3:9" x14ac:dyDescent="0.25">
      <c r="C62" s="26">
        <v>59</v>
      </c>
      <c r="D62" t="str">
        <f t="shared" si="0"/>
        <v>M</v>
      </c>
      <c r="G62">
        <v>18</v>
      </c>
      <c r="H62" s="26">
        <v>60</v>
      </c>
      <c r="I62" s="26" t="s">
        <v>28</v>
      </c>
    </row>
    <row r="63" spans="3:9" x14ac:dyDescent="0.25">
      <c r="C63" s="26">
        <v>60</v>
      </c>
      <c r="D63" t="str">
        <f t="shared" si="0"/>
        <v>M</v>
      </c>
      <c r="G63">
        <v>118</v>
      </c>
      <c r="H63" s="26">
        <v>61</v>
      </c>
      <c r="I63" s="26" t="s">
        <v>29</v>
      </c>
    </row>
    <row r="64" spans="3:9" x14ac:dyDescent="0.25">
      <c r="C64" s="26">
        <v>61</v>
      </c>
      <c r="D64" t="str">
        <f t="shared" si="0"/>
        <v>M</v>
      </c>
      <c r="G64">
        <v>36</v>
      </c>
      <c r="H64" s="26">
        <v>62</v>
      </c>
      <c r="I64" s="26" t="s">
        <v>28</v>
      </c>
    </row>
    <row r="65" spans="3:9" x14ac:dyDescent="0.25">
      <c r="C65" s="26">
        <v>62</v>
      </c>
      <c r="D65" t="str">
        <f t="shared" si="0"/>
        <v>M</v>
      </c>
      <c r="G65">
        <v>116</v>
      </c>
      <c r="H65" s="26">
        <v>63</v>
      </c>
      <c r="I65" s="26" t="s">
        <v>28</v>
      </c>
    </row>
    <row r="66" spans="3:9" x14ac:dyDescent="0.25">
      <c r="C66" s="26">
        <v>63</v>
      </c>
      <c r="D66" t="str">
        <f t="shared" si="0"/>
        <v>M</v>
      </c>
      <c r="G66">
        <v>73</v>
      </c>
      <c r="H66" s="26">
        <v>64</v>
      </c>
      <c r="I66" s="26" t="s">
        <v>29</v>
      </c>
    </row>
    <row r="67" spans="3:9" x14ac:dyDescent="0.25">
      <c r="C67" s="26">
        <v>64</v>
      </c>
      <c r="D67" t="str">
        <f t="shared" ref="D67:D130" si="1">VLOOKUP(G66,$H$2:$I$454,2,FALSE)</f>
        <v>M</v>
      </c>
      <c r="G67">
        <v>17</v>
      </c>
      <c r="H67" s="26">
        <v>65</v>
      </c>
      <c r="I67" s="26" t="s">
        <v>28</v>
      </c>
    </row>
    <row r="68" spans="3:9" x14ac:dyDescent="0.25">
      <c r="C68" s="26">
        <v>65</v>
      </c>
      <c r="D68" t="str">
        <f t="shared" si="1"/>
        <v>F</v>
      </c>
      <c r="G68">
        <v>121</v>
      </c>
      <c r="H68" s="26">
        <v>66</v>
      </c>
      <c r="I68" s="26" t="s">
        <v>28</v>
      </c>
    </row>
    <row r="69" spans="3:9" x14ac:dyDescent="0.25">
      <c r="C69" s="26">
        <v>66</v>
      </c>
      <c r="D69" t="str">
        <f t="shared" si="1"/>
        <v>F</v>
      </c>
      <c r="G69">
        <v>38</v>
      </c>
      <c r="H69" s="26">
        <v>67</v>
      </c>
      <c r="I69" s="26" t="s">
        <v>28</v>
      </c>
    </row>
    <row r="70" spans="3:9" x14ac:dyDescent="0.25">
      <c r="C70" s="26">
        <v>67</v>
      </c>
      <c r="D70" t="str">
        <f t="shared" si="1"/>
        <v>M</v>
      </c>
      <c r="G70">
        <v>55</v>
      </c>
      <c r="H70" s="26">
        <v>68</v>
      </c>
      <c r="I70" s="26" t="s">
        <v>28</v>
      </c>
    </row>
    <row r="71" spans="3:9" x14ac:dyDescent="0.25">
      <c r="C71" s="26">
        <v>68</v>
      </c>
      <c r="D71" t="str">
        <f t="shared" si="1"/>
        <v>M</v>
      </c>
      <c r="G71">
        <v>19</v>
      </c>
      <c r="H71" s="26">
        <v>69</v>
      </c>
      <c r="I71" s="26" t="s">
        <v>28</v>
      </c>
    </row>
    <row r="72" spans="3:9" x14ac:dyDescent="0.25">
      <c r="C72" s="26">
        <v>69</v>
      </c>
      <c r="D72" t="str">
        <f t="shared" si="1"/>
        <v>F</v>
      </c>
      <c r="G72">
        <v>66</v>
      </c>
      <c r="H72" s="26">
        <v>70</v>
      </c>
      <c r="I72" s="26" t="s">
        <v>28</v>
      </c>
    </row>
    <row r="73" spans="3:9" x14ac:dyDescent="0.25">
      <c r="C73" s="26">
        <v>70</v>
      </c>
      <c r="D73" t="str">
        <f t="shared" si="1"/>
        <v>M</v>
      </c>
      <c r="G73">
        <v>28</v>
      </c>
      <c r="H73" s="26">
        <v>71</v>
      </c>
      <c r="I73" s="26" t="s">
        <v>29</v>
      </c>
    </row>
    <row r="74" spans="3:9" x14ac:dyDescent="0.25">
      <c r="C74" s="26">
        <v>71</v>
      </c>
      <c r="D74" t="str">
        <f t="shared" si="1"/>
        <v>M</v>
      </c>
      <c r="G74">
        <v>120</v>
      </c>
      <c r="H74" s="26">
        <v>72</v>
      </c>
      <c r="I74" s="26" t="s">
        <v>28</v>
      </c>
    </row>
    <row r="75" spans="3:9" x14ac:dyDescent="0.25">
      <c r="C75" s="26">
        <v>72</v>
      </c>
      <c r="D75" t="str">
        <f t="shared" si="1"/>
        <v>M</v>
      </c>
      <c r="G75">
        <v>2</v>
      </c>
      <c r="H75" s="26">
        <v>73</v>
      </c>
      <c r="I75" s="26" t="s">
        <v>28</v>
      </c>
    </row>
    <row r="76" spans="3:9" x14ac:dyDescent="0.25">
      <c r="C76" s="26">
        <v>73</v>
      </c>
      <c r="D76" t="str">
        <f t="shared" si="1"/>
        <v>M</v>
      </c>
      <c r="G76">
        <v>13</v>
      </c>
      <c r="H76" s="26">
        <v>74</v>
      </c>
      <c r="I76" s="26" t="s">
        <v>28</v>
      </c>
    </row>
    <row r="77" spans="3:9" x14ac:dyDescent="0.25">
      <c r="C77" s="26">
        <v>74</v>
      </c>
      <c r="D77" t="str">
        <f t="shared" si="1"/>
        <v>M</v>
      </c>
      <c r="G77">
        <v>59</v>
      </c>
      <c r="H77" s="26">
        <v>75</v>
      </c>
      <c r="I77" s="26" t="s">
        <v>28</v>
      </c>
    </row>
    <row r="78" spans="3:9" x14ac:dyDescent="0.25">
      <c r="C78" s="26">
        <v>75</v>
      </c>
      <c r="D78" t="str">
        <f t="shared" si="1"/>
        <v>M</v>
      </c>
      <c r="G78">
        <v>115</v>
      </c>
      <c r="H78" s="26">
        <v>76</v>
      </c>
      <c r="I78" s="26" t="s">
        <v>28</v>
      </c>
    </row>
    <row r="79" spans="3:9" x14ac:dyDescent="0.25">
      <c r="C79" s="26">
        <v>76</v>
      </c>
      <c r="D79" t="str">
        <f t="shared" si="1"/>
        <v>M</v>
      </c>
      <c r="G79">
        <v>0</v>
      </c>
      <c r="H79" s="26">
        <v>77</v>
      </c>
      <c r="I79" s="26" t="s">
        <v>28</v>
      </c>
    </row>
    <row r="80" spans="3:9" x14ac:dyDescent="0.25">
      <c r="C80" s="26">
        <v>77</v>
      </c>
      <c r="D80" t="str">
        <f t="shared" si="1"/>
        <v>M</v>
      </c>
      <c r="G80">
        <v>21</v>
      </c>
      <c r="H80" s="26">
        <v>78</v>
      </c>
      <c r="I80" s="26" t="s">
        <v>29</v>
      </c>
    </row>
    <row r="81" spans="3:9" x14ac:dyDescent="0.25">
      <c r="C81" s="26">
        <v>78</v>
      </c>
      <c r="D81" t="str">
        <f t="shared" si="1"/>
        <v>M</v>
      </c>
      <c r="G81">
        <v>7</v>
      </c>
      <c r="H81" s="26">
        <v>79</v>
      </c>
      <c r="I81" s="26" t="s">
        <v>29</v>
      </c>
    </row>
    <row r="82" spans="3:9" x14ac:dyDescent="0.25">
      <c r="C82" s="26">
        <v>79</v>
      </c>
      <c r="D82" t="str">
        <f t="shared" si="1"/>
        <v>M</v>
      </c>
      <c r="G82">
        <v>95</v>
      </c>
      <c r="H82" s="26">
        <v>80</v>
      </c>
      <c r="I82" s="26" t="s">
        <v>28</v>
      </c>
    </row>
    <row r="83" spans="3:9" x14ac:dyDescent="0.25">
      <c r="C83" s="26">
        <v>80</v>
      </c>
      <c r="D83" t="str">
        <f t="shared" si="1"/>
        <v>F</v>
      </c>
      <c r="G83">
        <v>70</v>
      </c>
      <c r="H83" s="26">
        <v>81</v>
      </c>
      <c r="I83" s="26" t="s">
        <v>28</v>
      </c>
    </row>
    <row r="84" spans="3:9" x14ac:dyDescent="0.25">
      <c r="C84" s="26">
        <v>81</v>
      </c>
      <c r="D84" t="str">
        <f t="shared" si="1"/>
        <v>M</v>
      </c>
      <c r="G84">
        <v>56</v>
      </c>
      <c r="H84" s="26">
        <v>82</v>
      </c>
      <c r="I84" s="26" t="s">
        <v>28</v>
      </c>
    </row>
    <row r="85" spans="3:9" x14ac:dyDescent="0.25">
      <c r="C85" s="26">
        <v>82</v>
      </c>
      <c r="D85" t="str">
        <f t="shared" si="1"/>
        <v>M</v>
      </c>
      <c r="G85">
        <v>37</v>
      </c>
      <c r="H85" s="26">
        <v>83</v>
      </c>
      <c r="I85" s="26" t="s">
        <v>28</v>
      </c>
    </row>
    <row r="86" spans="3:9" x14ac:dyDescent="0.25">
      <c r="C86" s="26">
        <v>83</v>
      </c>
      <c r="D86" t="str">
        <f t="shared" si="1"/>
        <v>F</v>
      </c>
      <c r="G86">
        <v>64</v>
      </c>
      <c r="H86" s="26">
        <v>84</v>
      </c>
      <c r="I86" s="26" t="s">
        <v>28</v>
      </c>
    </row>
    <row r="87" spans="3:9" x14ac:dyDescent="0.25">
      <c r="C87" s="26">
        <v>84</v>
      </c>
      <c r="D87" t="str">
        <f t="shared" si="1"/>
        <v>F</v>
      </c>
      <c r="G87">
        <v>20</v>
      </c>
      <c r="H87" s="26">
        <v>85</v>
      </c>
      <c r="I87" s="26" t="s">
        <v>28</v>
      </c>
    </row>
    <row r="88" spans="3:9" x14ac:dyDescent="0.25">
      <c r="C88" s="26">
        <v>85</v>
      </c>
      <c r="D88" t="str">
        <f t="shared" si="1"/>
        <v>M</v>
      </c>
      <c r="G88">
        <v>8</v>
      </c>
      <c r="H88" s="26">
        <v>86</v>
      </c>
      <c r="I88" s="26" t="s">
        <v>28</v>
      </c>
    </row>
    <row r="89" spans="3:9" x14ac:dyDescent="0.25">
      <c r="C89" s="26">
        <v>86</v>
      </c>
      <c r="D89" t="str">
        <f t="shared" si="1"/>
        <v>M</v>
      </c>
      <c r="G89">
        <v>41</v>
      </c>
      <c r="H89" s="26">
        <v>87</v>
      </c>
      <c r="I89" s="26" t="s">
        <v>29</v>
      </c>
    </row>
    <row r="90" spans="3:9" x14ac:dyDescent="0.25">
      <c r="C90" s="26">
        <v>87</v>
      </c>
      <c r="D90" t="str">
        <f t="shared" si="1"/>
        <v>M</v>
      </c>
      <c r="G90">
        <v>132</v>
      </c>
      <c r="H90" s="26">
        <v>88</v>
      </c>
      <c r="I90" s="26" t="s">
        <v>29</v>
      </c>
    </row>
    <row r="91" spans="3:9" x14ac:dyDescent="0.25">
      <c r="C91" s="26">
        <v>88</v>
      </c>
      <c r="D91" t="str">
        <f t="shared" si="1"/>
        <v>M</v>
      </c>
      <c r="G91">
        <v>104</v>
      </c>
      <c r="H91" s="26">
        <v>89</v>
      </c>
      <c r="I91" s="26" t="s">
        <v>28</v>
      </c>
    </row>
    <row r="92" spans="3:9" x14ac:dyDescent="0.25">
      <c r="C92" s="26">
        <v>89</v>
      </c>
      <c r="D92" t="str">
        <f t="shared" si="1"/>
        <v>M</v>
      </c>
      <c r="G92">
        <v>29</v>
      </c>
      <c r="H92" s="26">
        <v>90</v>
      </c>
      <c r="I92" s="26" t="s">
        <v>28</v>
      </c>
    </row>
    <row r="93" spans="3:9" x14ac:dyDescent="0.25">
      <c r="C93" s="26">
        <v>90</v>
      </c>
      <c r="D93" t="str">
        <f t="shared" si="1"/>
        <v>M</v>
      </c>
      <c r="G93">
        <v>46</v>
      </c>
      <c r="H93" s="26">
        <v>91</v>
      </c>
      <c r="I93" s="26" t="s">
        <v>28</v>
      </c>
    </row>
    <row r="94" spans="3:9" x14ac:dyDescent="0.25">
      <c r="C94" s="26">
        <v>91</v>
      </c>
      <c r="D94" t="str">
        <f t="shared" si="1"/>
        <v>M</v>
      </c>
      <c r="G94">
        <v>134</v>
      </c>
      <c r="H94" s="26">
        <v>92</v>
      </c>
      <c r="I94" s="26" t="s">
        <v>28</v>
      </c>
    </row>
    <row r="95" spans="3:9" x14ac:dyDescent="0.25">
      <c r="C95" s="26">
        <v>92</v>
      </c>
      <c r="D95" t="str">
        <f t="shared" si="1"/>
        <v>M</v>
      </c>
      <c r="G95">
        <v>85</v>
      </c>
      <c r="H95" s="26">
        <v>93</v>
      </c>
      <c r="I95" s="26" t="s">
        <v>28</v>
      </c>
    </row>
    <row r="96" spans="3:9" x14ac:dyDescent="0.25">
      <c r="C96" s="26">
        <v>93</v>
      </c>
      <c r="D96" t="str">
        <f t="shared" si="1"/>
        <v>M</v>
      </c>
      <c r="G96">
        <v>123</v>
      </c>
      <c r="H96" s="26">
        <v>94</v>
      </c>
      <c r="I96" s="26" t="s">
        <v>28</v>
      </c>
    </row>
    <row r="97" spans="3:9" x14ac:dyDescent="0.25">
      <c r="C97" s="26">
        <v>94</v>
      </c>
      <c r="D97" t="str">
        <f t="shared" si="1"/>
        <v>M</v>
      </c>
      <c r="G97">
        <v>67</v>
      </c>
      <c r="H97" s="26">
        <v>95</v>
      </c>
      <c r="I97" s="26" t="s">
        <v>29</v>
      </c>
    </row>
    <row r="98" spans="3:9" x14ac:dyDescent="0.25">
      <c r="C98" s="26">
        <v>95</v>
      </c>
      <c r="D98" t="str">
        <f t="shared" si="1"/>
        <v>M</v>
      </c>
      <c r="G98">
        <v>12</v>
      </c>
      <c r="H98" s="26">
        <v>96</v>
      </c>
      <c r="I98" s="26" t="s">
        <v>28</v>
      </c>
    </row>
    <row r="99" spans="3:9" x14ac:dyDescent="0.25">
      <c r="C99" s="26">
        <v>96</v>
      </c>
      <c r="D99" t="str">
        <f t="shared" si="1"/>
        <v>M</v>
      </c>
      <c r="G99">
        <v>133</v>
      </c>
      <c r="H99" s="26">
        <v>97</v>
      </c>
      <c r="I99" s="26" t="s">
        <v>29</v>
      </c>
    </row>
    <row r="100" spans="3:9" x14ac:dyDescent="0.25">
      <c r="C100" s="26">
        <v>97</v>
      </c>
      <c r="D100" t="str">
        <f t="shared" si="1"/>
        <v>M</v>
      </c>
      <c r="G100">
        <v>34</v>
      </c>
      <c r="H100" s="26">
        <v>98</v>
      </c>
      <c r="I100" s="26" t="s">
        <v>28</v>
      </c>
    </row>
    <row r="101" spans="3:9" x14ac:dyDescent="0.25">
      <c r="C101" s="26">
        <v>98</v>
      </c>
      <c r="D101" t="str">
        <f t="shared" si="1"/>
        <v>F</v>
      </c>
      <c r="G101">
        <v>47</v>
      </c>
      <c r="H101" s="26">
        <v>99</v>
      </c>
      <c r="I101" s="26" t="s">
        <v>28</v>
      </c>
    </row>
    <row r="102" spans="3:9" x14ac:dyDescent="0.25">
      <c r="C102" s="26">
        <v>99</v>
      </c>
      <c r="D102" t="str">
        <f t="shared" si="1"/>
        <v>M</v>
      </c>
      <c r="G102">
        <v>80</v>
      </c>
      <c r="H102" s="26">
        <v>100</v>
      </c>
      <c r="I102" s="26" t="s">
        <v>28</v>
      </c>
    </row>
    <row r="103" spans="3:9" x14ac:dyDescent="0.25">
      <c r="C103" s="26">
        <v>100</v>
      </c>
      <c r="D103" t="str">
        <f t="shared" si="1"/>
        <v>M</v>
      </c>
      <c r="G103">
        <v>49</v>
      </c>
      <c r="H103" s="26">
        <v>101</v>
      </c>
      <c r="I103" s="26" t="s">
        <v>28</v>
      </c>
    </row>
    <row r="104" spans="3:9" x14ac:dyDescent="0.25">
      <c r="C104" s="26">
        <v>101</v>
      </c>
      <c r="D104" t="str">
        <f t="shared" si="1"/>
        <v>M</v>
      </c>
      <c r="G104">
        <v>61</v>
      </c>
      <c r="H104" s="26">
        <v>102</v>
      </c>
      <c r="I104" s="26" t="s">
        <v>28</v>
      </c>
    </row>
    <row r="105" spans="3:9" x14ac:dyDescent="0.25">
      <c r="C105" s="26">
        <v>102</v>
      </c>
      <c r="D105" t="str">
        <f t="shared" si="1"/>
        <v>F</v>
      </c>
      <c r="G105">
        <v>74</v>
      </c>
      <c r="H105" s="26">
        <v>103</v>
      </c>
      <c r="I105" s="26" t="s">
        <v>28</v>
      </c>
    </row>
    <row r="106" spans="3:9" x14ac:dyDescent="0.25">
      <c r="C106" s="26">
        <v>103</v>
      </c>
      <c r="D106" t="str">
        <f t="shared" si="1"/>
        <v>M</v>
      </c>
      <c r="G106">
        <v>10</v>
      </c>
      <c r="H106" s="26">
        <v>104</v>
      </c>
      <c r="I106" s="26" t="s">
        <v>28</v>
      </c>
    </row>
    <row r="107" spans="3:9" x14ac:dyDescent="0.25">
      <c r="C107" s="26">
        <v>104</v>
      </c>
      <c r="D107" t="str">
        <f t="shared" si="1"/>
        <v>F</v>
      </c>
      <c r="G107">
        <v>88</v>
      </c>
      <c r="H107" s="26">
        <v>105</v>
      </c>
      <c r="I107" s="26" t="s">
        <v>28</v>
      </c>
    </row>
    <row r="108" spans="3:9" x14ac:dyDescent="0.25">
      <c r="C108" s="26">
        <v>105</v>
      </c>
      <c r="D108" t="str">
        <f t="shared" si="1"/>
        <v>F</v>
      </c>
      <c r="G108">
        <v>77</v>
      </c>
      <c r="H108" s="26">
        <v>106</v>
      </c>
      <c r="I108" s="26" t="s">
        <v>28</v>
      </c>
    </row>
    <row r="109" spans="3:9" x14ac:dyDescent="0.25">
      <c r="C109" s="26">
        <v>106</v>
      </c>
      <c r="D109" t="str">
        <f t="shared" si="1"/>
        <v>M</v>
      </c>
      <c r="G109">
        <v>107</v>
      </c>
      <c r="H109" s="26">
        <v>107</v>
      </c>
      <c r="I109" s="26" t="s">
        <v>28</v>
      </c>
    </row>
    <row r="110" spans="3:9" x14ac:dyDescent="0.25">
      <c r="C110" s="26">
        <v>107</v>
      </c>
      <c r="D110" t="str">
        <f t="shared" si="1"/>
        <v>M</v>
      </c>
      <c r="G110">
        <v>117</v>
      </c>
      <c r="H110" s="26">
        <v>108</v>
      </c>
      <c r="I110" s="26" t="s">
        <v>28</v>
      </c>
    </row>
    <row r="111" spans="3:9" x14ac:dyDescent="0.25">
      <c r="C111" s="26">
        <v>108</v>
      </c>
      <c r="D111" t="str">
        <f t="shared" si="1"/>
        <v>M</v>
      </c>
      <c r="G111">
        <v>50</v>
      </c>
      <c r="H111" s="26">
        <v>109</v>
      </c>
      <c r="I111" s="26" t="s">
        <v>28</v>
      </c>
    </row>
    <row r="112" spans="3:9" x14ac:dyDescent="0.25">
      <c r="C112" s="26">
        <v>109</v>
      </c>
      <c r="D112" t="str">
        <f t="shared" si="1"/>
        <v>M</v>
      </c>
      <c r="G112">
        <v>27</v>
      </c>
      <c r="H112" s="26">
        <v>110</v>
      </c>
      <c r="I112" s="26" t="s">
        <v>28</v>
      </c>
    </row>
    <row r="113" spans="3:9" x14ac:dyDescent="0.25">
      <c r="C113" s="26">
        <v>110</v>
      </c>
      <c r="D113" t="str">
        <f t="shared" si="1"/>
        <v>M</v>
      </c>
      <c r="G113">
        <v>108</v>
      </c>
      <c r="H113" s="26">
        <v>111</v>
      </c>
      <c r="I113" s="26" t="s">
        <v>28</v>
      </c>
    </row>
    <row r="114" spans="3:9" x14ac:dyDescent="0.25">
      <c r="C114" s="26">
        <v>111</v>
      </c>
      <c r="D114" t="str">
        <f t="shared" si="1"/>
        <v>M</v>
      </c>
      <c r="G114">
        <v>53</v>
      </c>
      <c r="H114" s="26">
        <v>112</v>
      </c>
      <c r="I114" s="26" t="s">
        <v>28</v>
      </c>
    </row>
    <row r="115" spans="3:9" x14ac:dyDescent="0.25">
      <c r="C115" s="26">
        <v>112</v>
      </c>
      <c r="D115" t="str">
        <f t="shared" si="1"/>
        <v>M</v>
      </c>
      <c r="G115">
        <v>31</v>
      </c>
      <c r="H115" s="26">
        <v>113</v>
      </c>
      <c r="I115" s="26" t="s">
        <v>28</v>
      </c>
    </row>
    <row r="116" spans="3:9" x14ac:dyDescent="0.25">
      <c r="C116" s="26">
        <v>113</v>
      </c>
      <c r="D116" t="str">
        <f t="shared" si="1"/>
        <v>F</v>
      </c>
      <c r="G116">
        <v>99</v>
      </c>
      <c r="H116" s="26">
        <v>114</v>
      </c>
      <c r="I116" s="26" t="s">
        <v>28</v>
      </c>
    </row>
    <row r="117" spans="3:9" x14ac:dyDescent="0.25">
      <c r="C117" s="26">
        <v>114</v>
      </c>
      <c r="D117" t="str">
        <f t="shared" si="1"/>
        <v>M</v>
      </c>
      <c r="G117">
        <v>58</v>
      </c>
      <c r="H117" s="26">
        <v>115</v>
      </c>
      <c r="I117" s="26" t="s">
        <v>28</v>
      </c>
    </row>
    <row r="118" spans="3:9" x14ac:dyDescent="0.25">
      <c r="C118" s="26">
        <v>115</v>
      </c>
      <c r="D118" t="str">
        <f t="shared" si="1"/>
        <v>M</v>
      </c>
      <c r="G118">
        <v>105</v>
      </c>
      <c r="H118" s="26">
        <v>116</v>
      </c>
      <c r="I118" s="26" t="s">
        <v>28</v>
      </c>
    </row>
    <row r="119" spans="3:9" x14ac:dyDescent="0.25">
      <c r="C119" s="26">
        <v>116</v>
      </c>
      <c r="D119" t="str">
        <f t="shared" si="1"/>
        <v>M</v>
      </c>
      <c r="G119">
        <v>126</v>
      </c>
      <c r="H119" s="26">
        <v>117</v>
      </c>
      <c r="I119" s="26" t="s">
        <v>28</v>
      </c>
    </row>
    <row r="120" spans="3:9" x14ac:dyDescent="0.25">
      <c r="C120" s="26">
        <v>117</v>
      </c>
      <c r="D120" t="str">
        <f t="shared" si="1"/>
        <v>M</v>
      </c>
      <c r="G120">
        <v>128</v>
      </c>
      <c r="H120" s="26">
        <v>118</v>
      </c>
      <c r="I120" s="26" t="s">
        <v>28</v>
      </c>
    </row>
    <row r="121" spans="3:9" x14ac:dyDescent="0.25">
      <c r="C121" s="26">
        <v>118</v>
      </c>
      <c r="D121" t="str">
        <f t="shared" si="1"/>
        <v>F</v>
      </c>
      <c r="G121">
        <v>98</v>
      </c>
      <c r="H121" s="26">
        <v>119</v>
      </c>
      <c r="I121" s="26" t="s">
        <v>29</v>
      </c>
    </row>
    <row r="122" spans="3:9" x14ac:dyDescent="0.25">
      <c r="C122" s="26">
        <v>119</v>
      </c>
      <c r="D122" t="str">
        <f t="shared" si="1"/>
        <v>M</v>
      </c>
      <c r="G122">
        <v>32</v>
      </c>
      <c r="H122" s="26">
        <v>120</v>
      </c>
      <c r="I122" s="26" t="s">
        <v>28</v>
      </c>
    </row>
    <row r="123" spans="3:9" x14ac:dyDescent="0.25">
      <c r="C123" s="26">
        <v>120</v>
      </c>
      <c r="D123" t="str">
        <f t="shared" si="1"/>
        <v>M</v>
      </c>
      <c r="G123">
        <v>82</v>
      </c>
      <c r="H123" s="26">
        <v>121</v>
      </c>
      <c r="I123" s="26" t="s">
        <v>29</v>
      </c>
    </row>
    <row r="124" spans="3:9" x14ac:dyDescent="0.25">
      <c r="C124" s="26">
        <v>121</v>
      </c>
      <c r="D124" t="str">
        <f t="shared" si="1"/>
        <v>M</v>
      </c>
      <c r="G124">
        <v>140</v>
      </c>
      <c r="H124" s="26">
        <v>122</v>
      </c>
      <c r="I124" s="26" t="s">
        <v>29</v>
      </c>
    </row>
    <row r="125" spans="3:9" x14ac:dyDescent="0.25">
      <c r="C125" s="26">
        <v>122</v>
      </c>
      <c r="D125" t="str">
        <f t="shared" si="1"/>
        <v>M</v>
      </c>
      <c r="G125">
        <v>111</v>
      </c>
      <c r="H125" s="26">
        <v>123</v>
      </c>
      <c r="I125" s="26" t="s">
        <v>28</v>
      </c>
    </row>
    <row r="126" spans="3:9" x14ac:dyDescent="0.25">
      <c r="C126" s="26">
        <v>123</v>
      </c>
      <c r="D126" t="str">
        <f t="shared" si="1"/>
        <v>M</v>
      </c>
      <c r="G126">
        <v>68</v>
      </c>
      <c r="H126" s="26">
        <v>124</v>
      </c>
      <c r="I126" s="26" t="s">
        <v>28</v>
      </c>
    </row>
    <row r="127" spans="3:9" x14ac:dyDescent="0.25">
      <c r="C127" s="26">
        <v>124</v>
      </c>
      <c r="D127" t="str">
        <f t="shared" si="1"/>
        <v>M</v>
      </c>
      <c r="G127">
        <v>60</v>
      </c>
      <c r="H127" s="26">
        <v>125</v>
      </c>
      <c r="I127" s="26" t="s">
        <v>29</v>
      </c>
    </row>
    <row r="128" spans="3:9" x14ac:dyDescent="0.25">
      <c r="C128" s="26">
        <v>125</v>
      </c>
      <c r="D128" t="str">
        <f t="shared" si="1"/>
        <v>M</v>
      </c>
      <c r="G128">
        <v>87</v>
      </c>
      <c r="H128" s="26">
        <v>126</v>
      </c>
      <c r="I128" s="26" t="s">
        <v>28</v>
      </c>
    </row>
    <row r="129" spans="3:9" x14ac:dyDescent="0.25">
      <c r="C129" s="26">
        <v>126</v>
      </c>
      <c r="D129" t="str">
        <f t="shared" si="1"/>
        <v>F</v>
      </c>
      <c r="G129">
        <v>114</v>
      </c>
      <c r="H129" s="26">
        <v>127</v>
      </c>
      <c r="I129" s="26" t="s">
        <v>29</v>
      </c>
    </row>
    <row r="130" spans="3:9" x14ac:dyDescent="0.25">
      <c r="C130" s="26">
        <v>127</v>
      </c>
      <c r="D130" t="str">
        <f t="shared" si="1"/>
        <v>M</v>
      </c>
      <c r="G130">
        <v>84</v>
      </c>
      <c r="H130" s="26">
        <v>128</v>
      </c>
      <c r="I130" s="26" t="s">
        <v>29</v>
      </c>
    </row>
    <row r="131" spans="3:9" x14ac:dyDescent="0.25">
      <c r="C131" s="26">
        <v>128</v>
      </c>
      <c r="D131" t="str">
        <f t="shared" ref="D131:D194" si="2">VLOOKUP(G130,$H$2:$I$454,2,FALSE)</f>
        <v>M</v>
      </c>
      <c r="G131">
        <v>141</v>
      </c>
      <c r="H131" s="26">
        <v>129</v>
      </c>
      <c r="I131" s="26" t="s">
        <v>28</v>
      </c>
    </row>
    <row r="132" spans="3:9" x14ac:dyDescent="0.25">
      <c r="C132" s="26">
        <v>129</v>
      </c>
      <c r="D132" t="str">
        <f t="shared" si="2"/>
        <v>M</v>
      </c>
      <c r="G132">
        <v>63</v>
      </c>
      <c r="H132" s="26">
        <v>130</v>
      </c>
      <c r="I132" s="26" t="s">
        <v>29</v>
      </c>
    </row>
    <row r="133" spans="3:9" x14ac:dyDescent="0.25">
      <c r="C133" s="26">
        <v>130</v>
      </c>
      <c r="D133" t="str">
        <f t="shared" si="2"/>
        <v>M</v>
      </c>
      <c r="G133">
        <v>65</v>
      </c>
      <c r="H133" s="26">
        <v>131</v>
      </c>
      <c r="I133" s="26" t="s">
        <v>28</v>
      </c>
    </row>
    <row r="134" spans="3:9" x14ac:dyDescent="0.25">
      <c r="C134" s="26">
        <v>131</v>
      </c>
      <c r="D134" t="str">
        <f t="shared" si="2"/>
        <v>M</v>
      </c>
      <c r="G134">
        <v>90</v>
      </c>
      <c r="H134" s="26">
        <v>132</v>
      </c>
      <c r="I134" s="26" t="s">
        <v>28</v>
      </c>
    </row>
    <row r="135" spans="3:9" x14ac:dyDescent="0.25">
      <c r="C135" s="26">
        <v>132</v>
      </c>
      <c r="D135" t="str">
        <f t="shared" si="2"/>
        <v>M</v>
      </c>
      <c r="G135">
        <v>94</v>
      </c>
      <c r="H135" s="26">
        <v>133</v>
      </c>
      <c r="I135" s="26" t="s">
        <v>28</v>
      </c>
    </row>
    <row r="136" spans="3:9" x14ac:dyDescent="0.25">
      <c r="C136" s="26">
        <v>133</v>
      </c>
      <c r="D136" t="str">
        <f t="shared" si="2"/>
        <v>M</v>
      </c>
      <c r="G136">
        <v>33</v>
      </c>
      <c r="H136" s="26">
        <v>134</v>
      </c>
      <c r="I136" s="26" t="s">
        <v>28</v>
      </c>
    </row>
    <row r="137" spans="3:9" x14ac:dyDescent="0.25">
      <c r="C137" s="26">
        <v>134</v>
      </c>
      <c r="D137" t="str">
        <f t="shared" si="2"/>
        <v>F</v>
      </c>
      <c r="G137">
        <v>142</v>
      </c>
      <c r="H137" s="26">
        <v>135</v>
      </c>
      <c r="I137" s="26" t="s">
        <v>28</v>
      </c>
    </row>
    <row r="138" spans="3:9" x14ac:dyDescent="0.25">
      <c r="C138" s="26">
        <v>135</v>
      </c>
      <c r="D138" t="str">
        <f t="shared" si="2"/>
        <v>M</v>
      </c>
      <c r="G138">
        <v>76</v>
      </c>
      <c r="H138" s="26">
        <v>136</v>
      </c>
      <c r="I138" s="26" t="s">
        <v>28</v>
      </c>
    </row>
    <row r="139" spans="3:9" x14ac:dyDescent="0.25">
      <c r="C139" s="26">
        <v>136</v>
      </c>
      <c r="D139" t="str">
        <f t="shared" si="2"/>
        <v>M</v>
      </c>
      <c r="G139">
        <v>1</v>
      </c>
      <c r="H139" s="26">
        <v>137</v>
      </c>
      <c r="I139" s="26" t="s">
        <v>28</v>
      </c>
    </row>
    <row r="140" spans="3:9" x14ac:dyDescent="0.25">
      <c r="C140" s="26">
        <v>137</v>
      </c>
      <c r="D140" t="str">
        <f t="shared" si="2"/>
        <v>F</v>
      </c>
      <c r="G140">
        <v>103</v>
      </c>
      <c r="H140" s="26">
        <v>138</v>
      </c>
      <c r="I140" s="26" t="s">
        <v>28</v>
      </c>
    </row>
    <row r="141" spans="3:9" x14ac:dyDescent="0.25">
      <c r="C141" s="26">
        <v>138</v>
      </c>
      <c r="D141" t="str">
        <f t="shared" si="2"/>
        <v>M</v>
      </c>
      <c r="G141">
        <v>93</v>
      </c>
      <c r="H141" s="26">
        <v>139</v>
      </c>
      <c r="I141" s="26" t="s">
        <v>29</v>
      </c>
    </row>
    <row r="142" spans="3:9" x14ac:dyDescent="0.25">
      <c r="C142" s="26">
        <v>139</v>
      </c>
      <c r="D142" t="str">
        <f t="shared" si="2"/>
        <v>M</v>
      </c>
      <c r="G142">
        <v>143</v>
      </c>
      <c r="H142" s="26">
        <v>140</v>
      </c>
      <c r="I142" s="26" t="s">
        <v>28</v>
      </c>
    </row>
    <row r="143" spans="3:9" x14ac:dyDescent="0.25">
      <c r="C143" s="26">
        <v>140</v>
      </c>
      <c r="D143" t="str">
        <f t="shared" si="2"/>
        <v>M</v>
      </c>
      <c r="G143">
        <v>144</v>
      </c>
      <c r="H143" s="26">
        <v>141</v>
      </c>
      <c r="I143" s="26" t="s">
        <v>28</v>
      </c>
    </row>
    <row r="144" spans="3:9" x14ac:dyDescent="0.25">
      <c r="C144" s="26">
        <v>141</v>
      </c>
      <c r="D144" t="str">
        <f t="shared" si="2"/>
        <v>M</v>
      </c>
      <c r="G144">
        <v>96</v>
      </c>
      <c r="H144" s="26">
        <v>142</v>
      </c>
      <c r="I144" s="26" t="s">
        <v>28</v>
      </c>
    </row>
    <row r="145" spans="3:9" x14ac:dyDescent="0.25">
      <c r="C145" s="26">
        <v>142</v>
      </c>
      <c r="D145" t="str">
        <f t="shared" si="2"/>
        <v>M</v>
      </c>
      <c r="G145">
        <v>146</v>
      </c>
      <c r="H145" s="26">
        <v>143</v>
      </c>
      <c r="I145" s="26" t="s">
        <v>28</v>
      </c>
    </row>
    <row r="146" spans="3:9" x14ac:dyDescent="0.25">
      <c r="C146" s="26">
        <v>143</v>
      </c>
      <c r="D146" t="str">
        <f t="shared" si="2"/>
        <v>F</v>
      </c>
      <c r="G146">
        <v>15</v>
      </c>
      <c r="H146" s="26">
        <v>144</v>
      </c>
      <c r="I146" s="26" t="s">
        <v>28</v>
      </c>
    </row>
    <row r="147" spans="3:9" x14ac:dyDescent="0.25">
      <c r="C147" s="26">
        <v>144</v>
      </c>
      <c r="D147" t="str">
        <f t="shared" si="2"/>
        <v>M</v>
      </c>
      <c r="G147">
        <v>147</v>
      </c>
      <c r="H147" s="26">
        <v>145</v>
      </c>
      <c r="I147" s="26" t="s">
        <v>28</v>
      </c>
    </row>
    <row r="148" spans="3:9" x14ac:dyDescent="0.25">
      <c r="C148" s="26">
        <v>145</v>
      </c>
      <c r="D148" t="str">
        <f t="shared" si="2"/>
        <v>M</v>
      </c>
      <c r="G148">
        <v>145</v>
      </c>
      <c r="H148" s="26">
        <v>146</v>
      </c>
      <c r="I148" s="26" t="s">
        <v>29</v>
      </c>
    </row>
    <row r="149" spans="3:9" x14ac:dyDescent="0.25">
      <c r="C149" s="26">
        <v>146</v>
      </c>
      <c r="D149" t="str">
        <f t="shared" si="2"/>
        <v>M</v>
      </c>
      <c r="G149">
        <v>148</v>
      </c>
      <c r="H149" s="26">
        <v>147</v>
      </c>
      <c r="I149" s="26" t="s">
        <v>28</v>
      </c>
    </row>
    <row r="150" spans="3:9" x14ac:dyDescent="0.25">
      <c r="C150" s="26">
        <v>147</v>
      </c>
      <c r="D150" t="str">
        <f t="shared" si="2"/>
        <v>F</v>
      </c>
      <c r="G150">
        <v>149</v>
      </c>
      <c r="H150" s="26">
        <v>148</v>
      </c>
      <c r="I150" s="26" t="s">
        <v>29</v>
      </c>
    </row>
    <row r="151" spans="3:9" x14ac:dyDescent="0.25">
      <c r="C151" s="26">
        <v>148</v>
      </c>
      <c r="D151" t="str">
        <f t="shared" si="2"/>
        <v>F</v>
      </c>
      <c r="G151">
        <v>79</v>
      </c>
      <c r="H151" s="26">
        <v>149</v>
      </c>
      <c r="I151" s="26" t="s">
        <v>29</v>
      </c>
    </row>
    <row r="152" spans="3:9" x14ac:dyDescent="0.25">
      <c r="C152" s="26">
        <v>149</v>
      </c>
      <c r="D152" t="str">
        <f t="shared" si="2"/>
        <v>F</v>
      </c>
      <c r="G152">
        <v>150</v>
      </c>
      <c r="H152" s="26">
        <v>150</v>
      </c>
      <c r="I152" s="26" t="s">
        <v>29</v>
      </c>
    </row>
    <row r="153" spans="3:9" x14ac:dyDescent="0.25">
      <c r="C153" s="26">
        <v>150</v>
      </c>
      <c r="D153" t="str">
        <f t="shared" si="2"/>
        <v>F</v>
      </c>
      <c r="G153">
        <v>152</v>
      </c>
      <c r="H153" s="26">
        <v>151</v>
      </c>
      <c r="I153" s="26" t="s">
        <v>29</v>
      </c>
    </row>
    <row r="154" spans="3:9" x14ac:dyDescent="0.25">
      <c r="C154" s="26">
        <v>151</v>
      </c>
      <c r="D154" t="str">
        <f t="shared" si="2"/>
        <v>M</v>
      </c>
      <c r="G154">
        <v>153</v>
      </c>
      <c r="H154" s="26">
        <v>152</v>
      </c>
      <c r="I154" s="26" t="s">
        <v>28</v>
      </c>
    </row>
    <row r="155" spans="3:9" x14ac:dyDescent="0.25">
      <c r="C155" s="26">
        <v>152</v>
      </c>
      <c r="D155" t="str">
        <f t="shared" si="2"/>
        <v>M</v>
      </c>
      <c r="G155">
        <v>151</v>
      </c>
      <c r="H155" s="26">
        <v>153</v>
      </c>
      <c r="I155" s="26" t="s">
        <v>28</v>
      </c>
    </row>
    <row r="156" spans="3:9" x14ac:dyDescent="0.25">
      <c r="C156" s="26">
        <v>153</v>
      </c>
      <c r="D156" t="str">
        <f t="shared" si="2"/>
        <v>F</v>
      </c>
      <c r="G156">
        <v>154</v>
      </c>
      <c r="H156" s="26">
        <v>154</v>
      </c>
      <c r="I156" s="26" t="s">
        <v>29</v>
      </c>
    </row>
    <row r="157" spans="3:9" x14ac:dyDescent="0.25">
      <c r="C157" s="26">
        <v>154</v>
      </c>
      <c r="D157" t="str">
        <f t="shared" si="2"/>
        <v>F</v>
      </c>
      <c r="G157">
        <v>155</v>
      </c>
      <c r="H157" s="26">
        <v>155</v>
      </c>
      <c r="I157" s="26" t="s">
        <v>28</v>
      </c>
    </row>
    <row r="158" spans="3:9" x14ac:dyDescent="0.25">
      <c r="C158" s="26">
        <v>155</v>
      </c>
      <c r="D158" t="str">
        <f t="shared" si="2"/>
        <v>M</v>
      </c>
      <c r="G158">
        <v>156</v>
      </c>
      <c r="H158" s="26">
        <v>156</v>
      </c>
      <c r="I158" s="26" t="s">
        <v>28</v>
      </c>
    </row>
    <row r="159" spans="3:9" x14ac:dyDescent="0.25">
      <c r="C159" s="26">
        <v>156</v>
      </c>
      <c r="D159" t="str">
        <f t="shared" si="2"/>
        <v>M</v>
      </c>
      <c r="G159">
        <v>157</v>
      </c>
      <c r="H159" s="26">
        <v>157</v>
      </c>
      <c r="I159" s="26" t="s">
        <v>28</v>
      </c>
    </row>
    <row r="160" spans="3:9" x14ac:dyDescent="0.25">
      <c r="C160" s="26">
        <v>157</v>
      </c>
      <c r="D160" t="str">
        <f t="shared" si="2"/>
        <v>M</v>
      </c>
      <c r="G160">
        <v>158</v>
      </c>
      <c r="H160" s="26">
        <v>158</v>
      </c>
      <c r="I160" s="26" t="s">
        <v>29</v>
      </c>
    </row>
    <row r="161" spans="3:9" x14ac:dyDescent="0.25">
      <c r="C161" s="26">
        <v>158</v>
      </c>
      <c r="D161" t="str">
        <f t="shared" si="2"/>
        <v>F</v>
      </c>
      <c r="G161">
        <v>159</v>
      </c>
      <c r="H161" s="26">
        <v>159</v>
      </c>
      <c r="I161" s="26" t="s">
        <v>28</v>
      </c>
    </row>
    <row r="162" spans="3:9" x14ac:dyDescent="0.25">
      <c r="C162" s="26">
        <v>159</v>
      </c>
      <c r="D162" t="str">
        <f t="shared" si="2"/>
        <v>M</v>
      </c>
      <c r="G162">
        <v>160</v>
      </c>
      <c r="H162" s="26">
        <v>160</v>
      </c>
      <c r="I162" s="26" t="s">
        <v>28</v>
      </c>
    </row>
    <row r="163" spans="3:9" x14ac:dyDescent="0.25">
      <c r="C163" s="26">
        <v>160</v>
      </c>
      <c r="D163" t="str">
        <f t="shared" si="2"/>
        <v>M</v>
      </c>
      <c r="G163">
        <v>161</v>
      </c>
      <c r="H163" s="26">
        <v>161</v>
      </c>
      <c r="I163" s="26" t="s">
        <v>28</v>
      </c>
    </row>
    <row r="164" spans="3:9" x14ac:dyDescent="0.25">
      <c r="C164" s="26">
        <v>161</v>
      </c>
      <c r="D164" t="str">
        <f t="shared" si="2"/>
        <v>M</v>
      </c>
      <c r="G164">
        <v>162</v>
      </c>
      <c r="H164" s="26">
        <v>162</v>
      </c>
      <c r="I164" s="26" t="s">
        <v>28</v>
      </c>
    </row>
    <row r="165" spans="3:9" x14ac:dyDescent="0.25">
      <c r="C165" s="26">
        <v>162</v>
      </c>
      <c r="D165" t="str">
        <f t="shared" si="2"/>
        <v>M</v>
      </c>
      <c r="G165">
        <v>163</v>
      </c>
      <c r="H165" s="26">
        <v>163</v>
      </c>
      <c r="I165" s="26" t="s">
        <v>28</v>
      </c>
    </row>
    <row r="166" spans="3:9" x14ac:dyDescent="0.25">
      <c r="C166" s="26">
        <v>163</v>
      </c>
      <c r="D166" t="str">
        <f t="shared" si="2"/>
        <v>M</v>
      </c>
      <c r="G166">
        <v>164</v>
      </c>
      <c r="H166" s="26">
        <v>164</v>
      </c>
      <c r="I166" s="26" t="s">
        <v>29</v>
      </c>
    </row>
    <row r="167" spans="3:9" x14ac:dyDescent="0.25">
      <c r="C167" s="26">
        <v>164</v>
      </c>
      <c r="D167" t="str">
        <f t="shared" si="2"/>
        <v>F</v>
      </c>
      <c r="G167">
        <v>167</v>
      </c>
      <c r="H167" s="26">
        <v>165</v>
      </c>
      <c r="I167" s="26" t="s">
        <v>28</v>
      </c>
    </row>
    <row r="168" spans="3:9" x14ac:dyDescent="0.25">
      <c r="C168" s="26">
        <v>165</v>
      </c>
      <c r="D168" t="str">
        <f t="shared" si="2"/>
        <v>M</v>
      </c>
      <c r="G168">
        <v>166</v>
      </c>
      <c r="H168" s="26">
        <v>166</v>
      </c>
      <c r="I168" s="26" t="s">
        <v>28</v>
      </c>
    </row>
    <row r="169" spans="3:9" x14ac:dyDescent="0.25">
      <c r="C169" s="26">
        <v>166</v>
      </c>
      <c r="D169" t="str">
        <f t="shared" si="2"/>
        <v>M</v>
      </c>
      <c r="G169">
        <v>165</v>
      </c>
      <c r="H169" s="26">
        <v>167</v>
      </c>
      <c r="I169" s="26" t="s">
        <v>28</v>
      </c>
    </row>
    <row r="170" spans="3:9" x14ac:dyDescent="0.25">
      <c r="C170" s="26">
        <v>167</v>
      </c>
      <c r="D170" t="str">
        <f t="shared" si="2"/>
        <v>M</v>
      </c>
      <c r="G170">
        <v>168</v>
      </c>
      <c r="H170" s="26">
        <v>168</v>
      </c>
      <c r="I170" s="26" t="s">
        <v>29</v>
      </c>
    </row>
    <row r="171" spans="3:9" x14ac:dyDescent="0.25">
      <c r="C171" s="26">
        <v>168</v>
      </c>
      <c r="D171" t="str">
        <f t="shared" si="2"/>
        <v>F</v>
      </c>
      <c r="G171">
        <v>169</v>
      </c>
      <c r="H171" s="26">
        <v>169</v>
      </c>
      <c r="I171" s="26" t="s">
        <v>29</v>
      </c>
    </row>
    <row r="172" spans="3:9" x14ac:dyDescent="0.25">
      <c r="C172" s="26">
        <v>169</v>
      </c>
      <c r="D172" t="str">
        <f t="shared" si="2"/>
        <v>F</v>
      </c>
      <c r="G172">
        <v>170</v>
      </c>
      <c r="H172" s="26">
        <v>170</v>
      </c>
      <c r="I172" s="26" t="s">
        <v>29</v>
      </c>
    </row>
    <row r="173" spans="3:9" x14ac:dyDescent="0.25">
      <c r="C173" s="26">
        <v>170</v>
      </c>
      <c r="D173" t="str">
        <f t="shared" si="2"/>
        <v>F</v>
      </c>
      <c r="G173">
        <v>171</v>
      </c>
      <c r="H173" s="26">
        <v>171</v>
      </c>
      <c r="I173" s="26" t="s">
        <v>28</v>
      </c>
    </row>
    <row r="174" spans="3:9" x14ac:dyDescent="0.25">
      <c r="C174" s="26">
        <v>171</v>
      </c>
      <c r="D174" t="str">
        <f t="shared" si="2"/>
        <v>M</v>
      </c>
      <c r="G174">
        <v>172</v>
      </c>
      <c r="H174" s="26">
        <v>172</v>
      </c>
      <c r="I174" s="26" t="s">
        <v>28</v>
      </c>
    </row>
    <row r="175" spans="3:9" x14ac:dyDescent="0.25">
      <c r="C175" s="26">
        <v>172</v>
      </c>
      <c r="D175" t="str">
        <f t="shared" si="2"/>
        <v>M</v>
      </c>
      <c r="G175">
        <v>173</v>
      </c>
      <c r="H175" s="26">
        <v>173</v>
      </c>
      <c r="I175" s="26" t="s">
        <v>29</v>
      </c>
    </row>
    <row r="176" spans="3:9" x14ac:dyDescent="0.25">
      <c r="C176" s="26">
        <v>173</v>
      </c>
      <c r="D176" t="str">
        <f t="shared" si="2"/>
        <v>F</v>
      </c>
      <c r="G176">
        <v>174</v>
      </c>
      <c r="H176" s="26">
        <v>174</v>
      </c>
      <c r="I176" s="26" t="s">
        <v>29</v>
      </c>
    </row>
    <row r="177" spans="3:9" x14ac:dyDescent="0.25">
      <c r="C177" s="26">
        <v>174</v>
      </c>
      <c r="D177" t="str">
        <f t="shared" si="2"/>
        <v>F</v>
      </c>
      <c r="G177">
        <v>175</v>
      </c>
      <c r="H177" s="26">
        <v>175</v>
      </c>
      <c r="I177" s="26" t="s">
        <v>28</v>
      </c>
    </row>
    <row r="178" spans="3:9" x14ac:dyDescent="0.25">
      <c r="C178" s="26">
        <v>175</v>
      </c>
      <c r="D178" t="str">
        <f t="shared" si="2"/>
        <v>M</v>
      </c>
      <c r="G178">
        <v>176</v>
      </c>
      <c r="H178" s="26">
        <v>176</v>
      </c>
      <c r="I178" s="26" t="s">
        <v>28</v>
      </c>
    </row>
    <row r="179" spans="3:9" x14ac:dyDescent="0.25">
      <c r="C179" s="26">
        <v>176</v>
      </c>
      <c r="D179" t="str">
        <f t="shared" si="2"/>
        <v>M</v>
      </c>
      <c r="G179">
        <v>177</v>
      </c>
      <c r="H179" s="26">
        <v>177</v>
      </c>
      <c r="I179" s="26" t="s">
        <v>28</v>
      </c>
    </row>
    <row r="180" spans="3:9" x14ac:dyDescent="0.25">
      <c r="C180" s="26">
        <v>177</v>
      </c>
      <c r="D180" t="str">
        <f t="shared" si="2"/>
        <v>M</v>
      </c>
      <c r="G180">
        <v>178</v>
      </c>
      <c r="H180" s="26">
        <v>178</v>
      </c>
      <c r="I180" s="26" t="s">
        <v>28</v>
      </c>
    </row>
    <row r="181" spans="3:9" x14ac:dyDescent="0.25">
      <c r="C181" s="26">
        <v>178</v>
      </c>
      <c r="D181" t="str">
        <f t="shared" si="2"/>
        <v>M</v>
      </c>
      <c r="G181">
        <v>181</v>
      </c>
      <c r="H181" s="26">
        <v>179</v>
      </c>
      <c r="I181" s="26" t="s">
        <v>29</v>
      </c>
    </row>
    <row r="182" spans="3:9" x14ac:dyDescent="0.25">
      <c r="C182" s="26">
        <v>179</v>
      </c>
      <c r="D182" t="str">
        <f t="shared" si="2"/>
        <v>M</v>
      </c>
      <c r="G182">
        <v>180</v>
      </c>
      <c r="H182" s="26">
        <v>180</v>
      </c>
      <c r="I182" s="26" t="s">
        <v>28</v>
      </c>
    </row>
    <row r="183" spans="3:9" x14ac:dyDescent="0.25">
      <c r="C183" s="26">
        <v>180</v>
      </c>
      <c r="D183" t="str">
        <f t="shared" si="2"/>
        <v>M</v>
      </c>
      <c r="G183">
        <v>182</v>
      </c>
      <c r="H183" s="26">
        <v>181</v>
      </c>
      <c r="I183" s="26" t="s">
        <v>28</v>
      </c>
    </row>
    <row r="184" spans="3:9" x14ac:dyDescent="0.25">
      <c r="C184" s="26">
        <v>181</v>
      </c>
      <c r="D184" t="str">
        <f t="shared" si="2"/>
        <v>M</v>
      </c>
      <c r="G184">
        <v>179</v>
      </c>
      <c r="H184" s="26">
        <v>182</v>
      </c>
      <c r="I184" s="26" t="s">
        <v>28</v>
      </c>
    </row>
    <row r="185" spans="3:9" x14ac:dyDescent="0.25">
      <c r="C185" s="26">
        <v>182</v>
      </c>
      <c r="D185" t="str">
        <f t="shared" si="2"/>
        <v>F</v>
      </c>
      <c r="G185">
        <v>184</v>
      </c>
      <c r="H185" s="26">
        <v>183</v>
      </c>
      <c r="I185" s="26" t="s">
        <v>28</v>
      </c>
    </row>
    <row r="186" spans="3:9" x14ac:dyDescent="0.25">
      <c r="C186" s="26">
        <v>183</v>
      </c>
      <c r="D186" t="str">
        <f t="shared" si="2"/>
        <v>F</v>
      </c>
      <c r="G186">
        <v>183</v>
      </c>
      <c r="H186" s="26">
        <v>184</v>
      </c>
      <c r="I186" s="26" t="s">
        <v>29</v>
      </c>
    </row>
    <row r="187" spans="3:9" x14ac:dyDescent="0.25">
      <c r="C187" s="26">
        <v>184</v>
      </c>
      <c r="D187" t="str">
        <f t="shared" si="2"/>
        <v>M</v>
      </c>
      <c r="G187">
        <v>185</v>
      </c>
      <c r="H187" s="26">
        <v>185</v>
      </c>
      <c r="I187" s="26" t="s">
        <v>29</v>
      </c>
    </row>
    <row r="188" spans="3:9" x14ac:dyDescent="0.25">
      <c r="C188" s="26">
        <v>185</v>
      </c>
      <c r="D188" t="str">
        <f t="shared" si="2"/>
        <v>F</v>
      </c>
      <c r="G188">
        <v>186</v>
      </c>
      <c r="H188" s="26">
        <v>186</v>
      </c>
      <c r="I188" s="26" t="s">
        <v>28</v>
      </c>
    </row>
    <row r="189" spans="3:9" x14ac:dyDescent="0.25">
      <c r="C189" s="26">
        <v>186</v>
      </c>
      <c r="D189" t="str">
        <f t="shared" si="2"/>
        <v>M</v>
      </c>
      <c r="G189">
        <v>187</v>
      </c>
      <c r="H189" s="26">
        <v>187</v>
      </c>
      <c r="I189" s="26" t="s">
        <v>28</v>
      </c>
    </row>
    <row r="190" spans="3:9" x14ac:dyDescent="0.25">
      <c r="C190" s="26">
        <v>187</v>
      </c>
      <c r="D190" t="str">
        <f t="shared" si="2"/>
        <v>M</v>
      </c>
      <c r="G190">
        <v>189</v>
      </c>
      <c r="H190" s="26">
        <v>188</v>
      </c>
      <c r="I190" s="26" t="s">
        <v>28</v>
      </c>
    </row>
    <row r="191" spans="3:9" x14ac:dyDescent="0.25">
      <c r="C191" s="26">
        <v>188</v>
      </c>
      <c r="D191" t="str">
        <f t="shared" si="2"/>
        <v>M</v>
      </c>
      <c r="G191">
        <v>190</v>
      </c>
      <c r="H191" s="26">
        <v>189</v>
      </c>
      <c r="I191" s="26" t="s">
        <v>28</v>
      </c>
    </row>
    <row r="192" spans="3:9" x14ac:dyDescent="0.25">
      <c r="C192" s="26">
        <v>189</v>
      </c>
      <c r="D192" t="str">
        <f t="shared" si="2"/>
        <v>M</v>
      </c>
      <c r="G192">
        <v>191</v>
      </c>
      <c r="H192" s="26">
        <v>190</v>
      </c>
      <c r="I192" s="26" t="s">
        <v>28</v>
      </c>
    </row>
    <row r="193" spans="3:9" x14ac:dyDescent="0.25">
      <c r="C193" s="26">
        <v>190</v>
      </c>
      <c r="D193" t="str">
        <f t="shared" si="2"/>
        <v>M</v>
      </c>
      <c r="G193">
        <v>192</v>
      </c>
      <c r="H193" s="26">
        <v>191</v>
      </c>
      <c r="I193" s="26" t="s">
        <v>28</v>
      </c>
    </row>
    <row r="194" spans="3:9" x14ac:dyDescent="0.25">
      <c r="C194" s="26">
        <v>191</v>
      </c>
      <c r="D194" t="str">
        <f t="shared" si="2"/>
        <v>M</v>
      </c>
      <c r="G194">
        <v>188</v>
      </c>
      <c r="H194" s="26">
        <v>192</v>
      </c>
      <c r="I194" s="26" t="s">
        <v>28</v>
      </c>
    </row>
    <row r="195" spans="3:9" x14ac:dyDescent="0.25">
      <c r="C195" s="26">
        <v>192</v>
      </c>
      <c r="D195" t="str">
        <f t="shared" ref="D195:D258" si="3">VLOOKUP(G194,$H$2:$I$454,2,FALSE)</f>
        <v>M</v>
      </c>
      <c r="G195">
        <v>193</v>
      </c>
      <c r="H195" s="26">
        <v>193</v>
      </c>
      <c r="I195" s="26" t="s">
        <v>28</v>
      </c>
    </row>
    <row r="196" spans="3:9" x14ac:dyDescent="0.25">
      <c r="C196" s="26">
        <v>193</v>
      </c>
      <c r="D196" t="str">
        <f t="shared" si="3"/>
        <v>M</v>
      </c>
      <c r="G196">
        <v>194</v>
      </c>
      <c r="H196" s="26">
        <v>194</v>
      </c>
      <c r="I196" s="26" t="s">
        <v>28</v>
      </c>
    </row>
    <row r="197" spans="3:9" x14ac:dyDescent="0.25">
      <c r="C197" s="26">
        <v>194</v>
      </c>
      <c r="D197" t="str">
        <f t="shared" si="3"/>
        <v>M</v>
      </c>
      <c r="G197">
        <v>196</v>
      </c>
      <c r="H197" s="26">
        <v>195</v>
      </c>
      <c r="I197" s="26" t="s">
        <v>28</v>
      </c>
    </row>
    <row r="198" spans="3:9" x14ac:dyDescent="0.25">
      <c r="C198" s="26">
        <v>195</v>
      </c>
      <c r="D198" t="str">
        <f t="shared" si="3"/>
        <v>M</v>
      </c>
      <c r="G198">
        <v>198</v>
      </c>
      <c r="H198" s="26">
        <v>196</v>
      </c>
      <c r="I198" s="26" t="s">
        <v>28</v>
      </c>
    </row>
    <row r="199" spans="3:9" x14ac:dyDescent="0.25">
      <c r="C199" s="26">
        <v>196</v>
      </c>
      <c r="D199" t="str">
        <f t="shared" si="3"/>
        <v>M</v>
      </c>
      <c r="G199">
        <v>199</v>
      </c>
      <c r="H199" s="26">
        <v>197</v>
      </c>
      <c r="I199" s="26" t="s">
        <v>29</v>
      </c>
    </row>
    <row r="200" spans="3:9" x14ac:dyDescent="0.25">
      <c r="C200" s="26">
        <v>197</v>
      </c>
      <c r="D200" t="str">
        <f t="shared" si="3"/>
        <v>M</v>
      </c>
      <c r="G200">
        <v>195</v>
      </c>
      <c r="H200" s="26">
        <v>198</v>
      </c>
      <c r="I200" s="26" t="s">
        <v>28</v>
      </c>
    </row>
    <row r="201" spans="3:9" x14ac:dyDescent="0.25">
      <c r="C201" s="26">
        <v>198</v>
      </c>
      <c r="D201" t="str">
        <f t="shared" si="3"/>
        <v>M</v>
      </c>
      <c r="G201">
        <v>197</v>
      </c>
      <c r="H201" s="26">
        <v>199</v>
      </c>
      <c r="I201" s="26" t="s">
        <v>28</v>
      </c>
    </row>
    <row r="202" spans="3:9" x14ac:dyDescent="0.25">
      <c r="C202" s="26">
        <v>199</v>
      </c>
      <c r="D202" t="str">
        <f t="shared" si="3"/>
        <v>F</v>
      </c>
      <c r="G202">
        <v>202</v>
      </c>
      <c r="H202" s="26">
        <v>200</v>
      </c>
      <c r="I202" s="26" t="s">
        <v>28</v>
      </c>
    </row>
    <row r="203" spans="3:9" x14ac:dyDescent="0.25">
      <c r="C203" s="26">
        <v>200</v>
      </c>
      <c r="D203" t="str">
        <f t="shared" si="3"/>
        <v>F</v>
      </c>
      <c r="G203">
        <v>201</v>
      </c>
      <c r="H203" s="26">
        <v>201</v>
      </c>
      <c r="I203" s="26" t="s">
        <v>29</v>
      </c>
    </row>
    <row r="204" spans="3:9" x14ac:dyDescent="0.25">
      <c r="C204" s="26">
        <v>201</v>
      </c>
      <c r="D204" t="str">
        <f t="shared" si="3"/>
        <v>F</v>
      </c>
      <c r="G204">
        <v>203</v>
      </c>
      <c r="H204" s="26">
        <v>202</v>
      </c>
      <c r="I204" s="26" t="s">
        <v>29</v>
      </c>
    </row>
    <row r="205" spans="3:9" x14ac:dyDescent="0.25">
      <c r="C205" s="26">
        <v>202</v>
      </c>
      <c r="D205" t="str">
        <f t="shared" si="3"/>
        <v>F</v>
      </c>
      <c r="G205">
        <v>200</v>
      </c>
      <c r="H205" s="26">
        <v>203</v>
      </c>
      <c r="I205" s="26" t="s">
        <v>29</v>
      </c>
    </row>
    <row r="206" spans="3:9" x14ac:dyDescent="0.25">
      <c r="C206" s="26">
        <v>203</v>
      </c>
      <c r="D206" t="str">
        <f t="shared" si="3"/>
        <v>M</v>
      </c>
      <c r="G206">
        <v>204</v>
      </c>
      <c r="H206" s="26">
        <v>204</v>
      </c>
      <c r="I206" s="26" t="s">
        <v>28</v>
      </c>
    </row>
    <row r="207" spans="3:9" x14ac:dyDescent="0.25">
      <c r="C207" s="26">
        <v>204</v>
      </c>
      <c r="D207" t="str">
        <f t="shared" si="3"/>
        <v>M</v>
      </c>
      <c r="G207">
        <v>205</v>
      </c>
      <c r="H207" s="26">
        <v>205</v>
      </c>
      <c r="I207" s="26" t="s">
        <v>29</v>
      </c>
    </row>
    <row r="208" spans="3:9" x14ac:dyDescent="0.25">
      <c r="C208" s="26">
        <v>205</v>
      </c>
      <c r="D208" t="str">
        <f t="shared" si="3"/>
        <v>F</v>
      </c>
      <c r="G208">
        <v>206</v>
      </c>
      <c r="H208" s="26">
        <v>206</v>
      </c>
      <c r="I208" s="26" t="s">
        <v>28</v>
      </c>
    </row>
    <row r="209" spans="3:9" x14ac:dyDescent="0.25">
      <c r="C209" s="26">
        <v>206</v>
      </c>
      <c r="D209" t="str">
        <f t="shared" si="3"/>
        <v>M</v>
      </c>
      <c r="G209">
        <v>208</v>
      </c>
      <c r="H209" s="26">
        <v>207</v>
      </c>
      <c r="I209" s="26" t="s">
        <v>28</v>
      </c>
    </row>
    <row r="210" spans="3:9" x14ac:dyDescent="0.25">
      <c r="C210" s="26">
        <v>207</v>
      </c>
      <c r="D210" t="str">
        <f t="shared" si="3"/>
        <v>F</v>
      </c>
      <c r="G210">
        <v>210</v>
      </c>
      <c r="H210" s="26">
        <v>208</v>
      </c>
      <c r="I210" s="26" t="s">
        <v>29</v>
      </c>
    </row>
    <row r="211" spans="3:9" x14ac:dyDescent="0.25">
      <c r="C211" s="26">
        <v>208</v>
      </c>
      <c r="D211" t="str">
        <f t="shared" si="3"/>
        <v>M</v>
      </c>
      <c r="G211">
        <v>211</v>
      </c>
      <c r="H211" s="26">
        <v>209</v>
      </c>
      <c r="I211" s="26" t="s">
        <v>28</v>
      </c>
    </row>
    <row r="212" spans="3:9" x14ac:dyDescent="0.25">
      <c r="C212" s="26">
        <v>209</v>
      </c>
      <c r="D212" t="str">
        <f t="shared" si="3"/>
        <v>F</v>
      </c>
      <c r="G212">
        <v>207</v>
      </c>
      <c r="H212" s="26">
        <v>210</v>
      </c>
      <c r="I212" s="26" t="s">
        <v>28</v>
      </c>
    </row>
    <row r="213" spans="3:9" x14ac:dyDescent="0.25">
      <c r="C213" s="26">
        <v>210</v>
      </c>
      <c r="D213" t="str">
        <f t="shared" si="3"/>
        <v>M</v>
      </c>
      <c r="G213">
        <v>212</v>
      </c>
      <c r="H213" s="26">
        <v>211</v>
      </c>
      <c r="I213" s="26" t="s">
        <v>29</v>
      </c>
    </row>
    <row r="214" spans="3:9" x14ac:dyDescent="0.25">
      <c r="C214" s="26">
        <v>211</v>
      </c>
      <c r="D214" t="str">
        <f t="shared" si="3"/>
        <v>M</v>
      </c>
      <c r="G214">
        <v>213</v>
      </c>
      <c r="H214" s="26">
        <v>212</v>
      </c>
      <c r="I214" s="26" t="s">
        <v>28</v>
      </c>
    </row>
    <row r="215" spans="3:9" x14ac:dyDescent="0.25">
      <c r="C215" s="26">
        <v>212</v>
      </c>
      <c r="D215" t="str">
        <f t="shared" si="3"/>
        <v>F</v>
      </c>
      <c r="G215">
        <v>215</v>
      </c>
      <c r="H215" s="26">
        <v>213</v>
      </c>
      <c r="I215" s="26" t="s">
        <v>29</v>
      </c>
    </row>
    <row r="216" spans="3:9" x14ac:dyDescent="0.25">
      <c r="C216" s="26">
        <v>213</v>
      </c>
      <c r="D216" t="str">
        <f t="shared" si="3"/>
        <v>M</v>
      </c>
      <c r="G216">
        <v>214</v>
      </c>
      <c r="H216" s="26">
        <v>214</v>
      </c>
      <c r="I216" s="26" t="s">
        <v>28</v>
      </c>
    </row>
    <row r="217" spans="3:9" x14ac:dyDescent="0.25">
      <c r="C217" s="26">
        <v>214</v>
      </c>
      <c r="D217" t="str">
        <f t="shared" si="3"/>
        <v>M</v>
      </c>
      <c r="G217">
        <v>216</v>
      </c>
      <c r="H217" s="26">
        <v>215</v>
      </c>
      <c r="I217" s="26" t="s">
        <v>28</v>
      </c>
    </row>
    <row r="218" spans="3:9" x14ac:dyDescent="0.25">
      <c r="C218" s="26">
        <v>215</v>
      </c>
      <c r="D218" t="str">
        <f t="shared" si="3"/>
        <v>M</v>
      </c>
      <c r="G218">
        <v>209</v>
      </c>
      <c r="H218" s="26">
        <v>216</v>
      </c>
      <c r="I218" s="26" t="s">
        <v>28</v>
      </c>
    </row>
    <row r="219" spans="3:9" x14ac:dyDescent="0.25">
      <c r="C219" s="26">
        <v>216</v>
      </c>
      <c r="D219" t="str">
        <f t="shared" si="3"/>
        <v>M</v>
      </c>
      <c r="G219">
        <v>218</v>
      </c>
      <c r="H219" s="26">
        <v>217</v>
      </c>
      <c r="I219" s="26" t="s">
        <v>28</v>
      </c>
    </row>
    <row r="220" spans="3:9" x14ac:dyDescent="0.25">
      <c r="C220" s="26">
        <v>217</v>
      </c>
      <c r="D220" t="str">
        <f t="shared" si="3"/>
        <v>M</v>
      </c>
      <c r="G220">
        <v>217</v>
      </c>
      <c r="H220" s="26">
        <v>218</v>
      </c>
      <c r="I220" s="26" t="s">
        <v>28</v>
      </c>
    </row>
    <row r="221" spans="3:9" x14ac:dyDescent="0.25">
      <c r="C221" s="26">
        <v>218</v>
      </c>
      <c r="D221" t="str">
        <f t="shared" si="3"/>
        <v>M</v>
      </c>
      <c r="G221">
        <v>219</v>
      </c>
      <c r="H221" s="26">
        <v>219</v>
      </c>
      <c r="I221" s="26" t="s">
        <v>28</v>
      </c>
    </row>
    <row r="222" spans="3:9" x14ac:dyDescent="0.25">
      <c r="C222" s="26">
        <v>219</v>
      </c>
      <c r="D222" t="str">
        <f t="shared" si="3"/>
        <v>M</v>
      </c>
      <c r="G222">
        <v>220</v>
      </c>
      <c r="H222" s="26">
        <v>220</v>
      </c>
      <c r="I222" s="26" t="s">
        <v>28</v>
      </c>
    </row>
    <row r="223" spans="3:9" x14ac:dyDescent="0.25">
      <c r="C223" s="26">
        <v>220</v>
      </c>
      <c r="D223" t="str">
        <f t="shared" si="3"/>
        <v>M</v>
      </c>
      <c r="G223">
        <v>221</v>
      </c>
      <c r="H223" s="26">
        <v>221</v>
      </c>
      <c r="I223" s="26" t="s">
        <v>28</v>
      </c>
    </row>
    <row r="224" spans="3:9" x14ac:dyDescent="0.25">
      <c r="C224" s="26">
        <v>221</v>
      </c>
      <c r="D224" t="str">
        <f t="shared" si="3"/>
        <v>M</v>
      </c>
      <c r="G224">
        <v>223</v>
      </c>
      <c r="H224" s="26">
        <v>222</v>
      </c>
      <c r="I224" s="26" t="s">
        <v>29</v>
      </c>
    </row>
    <row r="225" spans="3:9" x14ac:dyDescent="0.25">
      <c r="C225" s="26">
        <v>222</v>
      </c>
      <c r="D225" t="str">
        <f t="shared" si="3"/>
        <v>F</v>
      </c>
      <c r="G225">
        <v>225</v>
      </c>
      <c r="H225" s="26">
        <v>223</v>
      </c>
      <c r="I225" s="26" t="s">
        <v>29</v>
      </c>
    </row>
    <row r="226" spans="3:9" x14ac:dyDescent="0.25">
      <c r="C226" s="26">
        <v>223</v>
      </c>
      <c r="D226" t="str">
        <f t="shared" si="3"/>
        <v>M</v>
      </c>
      <c r="G226">
        <v>222</v>
      </c>
      <c r="H226" s="26">
        <v>224</v>
      </c>
      <c r="I226" s="26" t="s">
        <v>29</v>
      </c>
    </row>
    <row r="227" spans="3:9" x14ac:dyDescent="0.25">
      <c r="C227" s="26">
        <v>224</v>
      </c>
      <c r="D227" t="str">
        <f t="shared" si="3"/>
        <v>F</v>
      </c>
      <c r="G227">
        <v>224</v>
      </c>
      <c r="H227" s="26">
        <v>225</v>
      </c>
      <c r="I227" s="26" t="s">
        <v>28</v>
      </c>
    </row>
    <row r="228" spans="3:9" x14ac:dyDescent="0.25">
      <c r="C228" s="26">
        <v>225</v>
      </c>
      <c r="D228" t="str">
        <f t="shared" si="3"/>
        <v>F</v>
      </c>
      <c r="G228">
        <v>226</v>
      </c>
      <c r="H228" s="26">
        <v>226</v>
      </c>
      <c r="I228" s="26" t="s">
        <v>28</v>
      </c>
    </row>
    <row r="229" spans="3:9" x14ac:dyDescent="0.25">
      <c r="C229" s="26">
        <v>226</v>
      </c>
      <c r="D229" t="str">
        <f t="shared" si="3"/>
        <v>M</v>
      </c>
      <c r="G229">
        <v>227</v>
      </c>
      <c r="H229" s="26">
        <v>227</v>
      </c>
      <c r="I229" s="26" t="s">
        <v>29</v>
      </c>
    </row>
    <row r="230" spans="3:9" x14ac:dyDescent="0.25">
      <c r="C230" s="26">
        <v>227</v>
      </c>
      <c r="D230" t="str">
        <f t="shared" si="3"/>
        <v>F</v>
      </c>
      <c r="G230">
        <v>228</v>
      </c>
      <c r="H230" s="26">
        <v>228</v>
      </c>
      <c r="I230" s="26" t="s">
        <v>29</v>
      </c>
    </row>
    <row r="231" spans="3:9" x14ac:dyDescent="0.25">
      <c r="C231" s="26">
        <v>228</v>
      </c>
      <c r="D231" t="str">
        <f t="shared" si="3"/>
        <v>F</v>
      </c>
      <c r="G231">
        <v>230</v>
      </c>
      <c r="H231" s="26">
        <v>229</v>
      </c>
      <c r="I231" s="26" t="s">
        <v>29</v>
      </c>
    </row>
    <row r="232" spans="3:9" x14ac:dyDescent="0.25">
      <c r="C232" s="26">
        <v>229</v>
      </c>
      <c r="D232" t="str">
        <f t="shared" si="3"/>
        <v>M</v>
      </c>
      <c r="G232">
        <v>231</v>
      </c>
      <c r="H232" s="26">
        <v>230</v>
      </c>
      <c r="I232" s="26" t="s">
        <v>28</v>
      </c>
    </row>
    <row r="233" spans="3:9" x14ac:dyDescent="0.25">
      <c r="C233" s="26">
        <v>230</v>
      </c>
      <c r="D233" t="str">
        <f t="shared" si="3"/>
        <v>M</v>
      </c>
      <c r="G233">
        <v>232</v>
      </c>
      <c r="H233" s="26">
        <v>231</v>
      </c>
      <c r="I233" s="26" t="s">
        <v>28</v>
      </c>
    </row>
    <row r="234" spans="3:9" x14ac:dyDescent="0.25">
      <c r="C234" s="26">
        <v>231</v>
      </c>
      <c r="D234" t="str">
        <f t="shared" si="3"/>
        <v>M</v>
      </c>
      <c r="G234">
        <v>236</v>
      </c>
      <c r="H234" s="26">
        <v>232</v>
      </c>
      <c r="I234" s="26" t="s">
        <v>28</v>
      </c>
    </row>
    <row r="235" spans="3:9" x14ac:dyDescent="0.25">
      <c r="C235" s="26">
        <v>232</v>
      </c>
      <c r="D235" t="str">
        <f t="shared" si="3"/>
        <v>M</v>
      </c>
      <c r="G235">
        <v>235</v>
      </c>
      <c r="H235" s="26">
        <v>233</v>
      </c>
      <c r="I235" s="26" t="s">
        <v>28</v>
      </c>
    </row>
    <row r="236" spans="3:9" x14ac:dyDescent="0.25">
      <c r="C236" s="26">
        <v>233</v>
      </c>
      <c r="D236" t="str">
        <f t="shared" si="3"/>
        <v>F</v>
      </c>
      <c r="G236">
        <v>234</v>
      </c>
      <c r="H236" s="26">
        <v>234</v>
      </c>
      <c r="I236" s="26" t="s">
        <v>28</v>
      </c>
    </row>
    <row r="237" spans="3:9" x14ac:dyDescent="0.25">
      <c r="C237" s="26">
        <v>234</v>
      </c>
      <c r="D237" t="str">
        <f t="shared" si="3"/>
        <v>M</v>
      </c>
      <c r="G237">
        <v>229</v>
      </c>
      <c r="H237" s="26">
        <v>235</v>
      </c>
      <c r="I237" s="26" t="s">
        <v>29</v>
      </c>
    </row>
    <row r="238" spans="3:9" x14ac:dyDescent="0.25">
      <c r="C238" s="26">
        <v>235</v>
      </c>
      <c r="D238" t="str">
        <f t="shared" si="3"/>
        <v>F</v>
      </c>
      <c r="G238">
        <v>238</v>
      </c>
      <c r="H238" s="26">
        <v>236</v>
      </c>
      <c r="I238" s="26" t="s">
        <v>28</v>
      </c>
    </row>
    <row r="239" spans="3:9" x14ac:dyDescent="0.25">
      <c r="C239" s="26">
        <v>236</v>
      </c>
      <c r="D239" t="str">
        <f t="shared" si="3"/>
        <v>M</v>
      </c>
      <c r="G239">
        <v>237</v>
      </c>
      <c r="H239" s="26">
        <v>237</v>
      </c>
      <c r="I239" s="26" t="s">
        <v>29</v>
      </c>
    </row>
    <row r="240" spans="3:9" x14ac:dyDescent="0.25">
      <c r="C240" s="26">
        <v>237</v>
      </c>
      <c r="D240" t="str">
        <f t="shared" si="3"/>
        <v>F</v>
      </c>
      <c r="G240">
        <v>239</v>
      </c>
      <c r="H240" s="26">
        <v>238</v>
      </c>
      <c r="I240" s="26" t="s">
        <v>28</v>
      </c>
    </row>
    <row r="241" spans="3:9" x14ac:dyDescent="0.25">
      <c r="C241" s="26">
        <v>238</v>
      </c>
      <c r="D241" t="str">
        <f t="shared" si="3"/>
        <v>F</v>
      </c>
      <c r="G241">
        <v>233</v>
      </c>
      <c r="H241" s="26">
        <v>239</v>
      </c>
      <c r="I241" s="26" t="s">
        <v>29</v>
      </c>
    </row>
    <row r="242" spans="3:9" x14ac:dyDescent="0.25">
      <c r="C242" s="26">
        <v>239</v>
      </c>
      <c r="D242" t="str">
        <f t="shared" si="3"/>
        <v>M</v>
      </c>
      <c r="G242">
        <v>240</v>
      </c>
      <c r="H242" s="26">
        <v>240</v>
      </c>
      <c r="I242" s="26" t="s">
        <v>29</v>
      </c>
    </row>
    <row r="243" spans="3:9" x14ac:dyDescent="0.25">
      <c r="C243" s="26">
        <v>240</v>
      </c>
      <c r="D243" t="str">
        <f t="shared" si="3"/>
        <v>F</v>
      </c>
      <c r="G243">
        <v>241</v>
      </c>
      <c r="H243" s="26">
        <v>241</v>
      </c>
      <c r="I243" s="26" t="s">
        <v>28</v>
      </c>
    </row>
    <row r="244" spans="3:9" x14ac:dyDescent="0.25">
      <c r="C244" s="26">
        <v>241</v>
      </c>
      <c r="D244" t="str">
        <f t="shared" si="3"/>
        <v>M</v>
      </c>
      <c r="G244">
        <v>242</v>
      </c>
      <c r="H244" s="26">
        <v>242</v>
      </c>
      <c r="I244" s="26" t="s">
        <v>28</v>
      </c>
    </row>
    <row r="245" spans="3:9" x14ac:dyDescent="0.25">
      <c r="C245" s="26">
        <v>242</v>
      </c>
      <c r="D245" t="str">
        <f t="shared" si="3"/>
        <v>M</v>
      </c>
      <c r="G245">
        <v>243</v>
      </c>
      <c r="H245" s="26">
        <v>243</v>
      </c>
      <c r="I245" s="26" t="s">
        <v>28</v>
      </c>
    </row>
    <row r="246" spans="3:9" x14ac:dyDescent="0.25">
      <c r="C246" s="26">
        <v>243</v>
      </c>
      <c r="D246" t="str">
        <f t="shared" si="3"/>
        <v>M</v>
      </c>
      <c r="G246">
        <v>244</v>
      </c>
      <c r="H246" s="26">
        <v>244</v>
      </c>
      <c r="I246" s="26" t="s">
        <v>28</v>
      </c>
    </row>
    <row r="247" spans="3:9" x14ac:dyDescent="0.25">
      <c r="C247" s="26">
        <v>244</v>
      </c>
      <c r="D247" t="str">
        <f t="shared" si="3"/>
        <v>M</v>
      </c>
      <c r="G247">
        <v>245</v>
      </c>
      <c r="H247" s="26">
        <v>245</v>
      </c>
      <c r="I247" s="26" t="s">
        <v>28</v>
      </c>
    </row>
    <row r="248" spans="3:9" x14ac:dyDescent="0.25">
      <c r="C248" s="26">
        <v>245</v>
      </c>
      <c r="D248" t="str">
        <f t="shared" si="3"/>
        <v>M</v>
      </c>
      <c r="G248">
        <v>246</v>
      </c>
      <c r="H248" s="26">
        <v>246</v>
      </c>
      <c r="I248" s="26" t="s">
        <v>28</v>
      </c>
    </row>
    <row r="249" spans="3:9" x14ac:dyDescent="0.25">
      <c r="C249" s="26">
        <v>246</v>
      </c>
      <c r="D249" t="str">
        <f t="shared" si="3"/>
        <v>M</v>
      </c>
      <c r="G249">
        <v>247</v>
      </c>
      <c r="H249" s="26">
        <v>247</v>
      </c>
      <c r="I249" s="26" t="s">
        <v>28</v>
      </c>
    </row>
    <row r="250" spans="3:9" x14ac:dyDescent="0.25">
      <c r="C250" s="26">
        <v>247</v>
      </c>
      <c r="D250" t="str">
        <f t="shared" si="3"/>
        <v>M</v>
      </c>
      <c r="G250">
        <v>250</v>
      </c>
      <c r="H250" s="26">
        <v>248</v>
      </c>
      <c r="I250" s="26" t="s">
        <v>28</v>
      </c>
    </row>
    <row r="251" spans="3:9" x14ac:dyDescent="0.25">
      <c r="C251" s="26">
        <v>248</v>
      </c>
      <c r="D251" t="str">
        <f t="shared" si="3"/>
        <v>M</v>
      </c>
      <c r="G251">
        <v>251</v>
      </c>
      <c r="H251" s="26">
        <v>249</v>
      </c>
      <c r="I251" s="26" t="s">
        <v>28</v>
      </c>
    </row>
    <row r="252" spans="3:9" x14ac:dyDescent="0.25">
      <c r="C252" s="26">
        <v>249</v>
      </c>
      <c r="D252" t="str">
        <f t="shared" si="3"/>
        <v>M</v>
      </c>
      <c r="G252">
        <v>248</v>
      </c>
      <c r="H252" s="26">
        <v>250</v>
      </c>
      <c r="I252" s="26" t="s">
        <v>28</v>
      </c>
    </row>
    <row r="253" spans="3:9" x14ac:dyDescent="0.25">
      <c r="C253" s="26">
        <v>250</v>
      </c>
      <c r="D253" t="str">
        <f t="shared" si="3"/>
        <v>M</v>
      </c>
      <c r="G253">
        <v>249</v>
      </c>
      <c r="H253" s="26">
        <v>251</v>
      </c>
      <c r="I253" s="26" t="s">
        <v>28</v>
      </c>
    </row>
    <row r="254" spans="3:9" x14ac:dyDescent="0.25">
      <c r="C254" s="26">
        <v>251</v>
      </c>
      <c r="D254" t="str">
        <f t="shared" si="3"/>
        <v>M</v>
      </c>
      <c r="G254">
        <v>253</v>
      </c>
      <c r="H254" s="26">
        <v>252</v>
      </c>
      <c r="I254" s="26" t="s">
        <v>29</v>
      </c>
    </row>
    <row r="255" spans="3:9" x14ac:dyDescent="0.25">
      <c r="C255" s="26">
        <v>252</v>
      </c>
      <c r="D255" t="str">
        <f t="shared" si="3"/>
        <v>M</v>
      </c>
      <c r="G255">
        <v>254</v>
      </c>
      <c r="H255" s="26">
        <v>253</v>
      </c>
      <c r="I255" s="26" t="s">
        <v>28</v>
      </c>
    </row>
    <row r="256" spans="3:9" x14ac:dyDescent="0.25">
      <c r="C256" s="26">
        <v>253</v>
      </c>
      <c r="D256" t="str">
        <f t="shared" si="3"/>
        <v>M</v>
      </c>
      <c r="G256">
        <v>252</v>
      </c>
      <c r="H256" s="26">
        <v>254</v>
      </c>
      <c r="I256" s="26" t="s">
        <v>28</v>
      </c>
    </row>
    <row r="257" spans="3:9" x14ac:dyDescent="0.25">
      <c r="C257" s="26">
        <v>254</v>
      </c>
      <c r="D257" t="str">
        <f t="shared" si="3"/>
        <v>F</v>
      </c>
      <c r="G257">
        <v>258</v>
      </c>
      <c r="H257" s="26">
        <v>255</v>
      </c>
      <c r="I257" s="26" t="s">
        <v>29</v>
      </c>
    </row>
    <row r="258" spans="3:9" x14ac:dyDescent="0.25">
      <c r="C258" s="26">
        <v>255</v>
      </c>
      <c r="D258" t="str">
        <f t="shared" si="3"/>
        <v>M</v>
      </c>
      <c r="G258">
        <v>257</v>
      </c>
      <c r="H258" s="26">
        <v>256</v>
      </c>
      <c r="I258" s="26" t="s">
        <v>28</v>
      </c>
    </row>
    <row r="259" spans="3:9" x14ac:dyDescent="0.25">
      <c r="C259" s="26">
        <v>256</v>
      </c>
      <c r="D259" t="str">
        <f t="shared" ref="D259:D322" si="4">VLOOKUP(G258,$H$2:$I$454,2,FALSE)</f>
        <v>F</v>
      </c>
      <c r="G259">
        <v>256</v>
      </c>
      <c r="H259" s="26">
        <v>257</v>
      </c>
      <c r="I259" s="26" t="s">
        <v>29</v>
      </c>
    </row>
    <row r="260" spans="3:9" x14ac:dyDescent="0.25">
      <c r="C260" s="26">
        <v>257</v>
      </c>
      <c r="D260" t="str">
        <f t="shared" si="4"/>
        <v>M</v>
      </c>
      <c r="G260">
        <v>259</v>
      </c>
      <c r="H260" s="26">
        <v>258</v>
      </c>
      <c r="I260" s="26" t="s">
        <v>28</v>
      </c>
    </row>
    <row r="261" spans="3:9" x14ac:dyDescent="0.25">
      <c r="C261" s="26">
        <v>258</v>
      </c>
      <c r="D261" t="str">
        <f t="shared" si="4"/>
        <v>F</v>
      </c>
      <c r="G261">
        <v>260</v>
      </c>
      <c r="H261" s="26">
        <v>259</v>
      </c>
      <c r="I261" s="26" t="s">
        <v>29</v>
      </c>
    </row>
    <row r="262" spans="3:9" x14ac:dyDescent="0.25">
      <c r="C262" s="26">
        <v>259</v>
      </c>
      <c r="D262" t="str">
        <f t="shared" si="4"/>
        <v>M</v>
      </c>
      <c r="G262">
        <v>261</v>
      </c>
      <c r="H262" s="26">
        <v>260</v>
      </c>
      <c r="I262" s="26" t="s">
        <v>28</v>
      </c>
    </row>
    <row r="263" spans="3:9" x14ac:dyDescent="0.25">
      <c r="C263" s="26">
        <v>260</v>
      </c>
      <c r="D263" t="str">
        <f t="shared" si="4"/>
        <v>F</v>
      </c>
      <c r="G263">
        <v>255</v>
      </c>
      <c r="H263" s="26">
        <v>261</v>
      </c>
      <c r="I263" s="26" t="s">
        <v>29</v>
      </c>
    </row>
    <row r="264" spans="3:9" x14ac:dyDescent="0.25">
      <c r="C264" s="26">
        <v>261</v>
      </c>
      <c r="D264" t="str">
        <f t="shared" si="4"/>
        <v>F</v>
      </c>
      <c r="G264">
        <v>262</v>
      </c>
      <c r="H264" s="26">
        <v>262</v>
      </c>
      <c r="I264" s="26" t="s">
        <v>28</v>
      </c>
    </row>
    <row r="265" spans="3:9" x14ac:dyDescent="0.25">
      <c r="C265" s="26">
        <v>262</v>
      </c>
      <c r="D265" t="str">
        <f t="shared" si="4"/>
        <v>M</v>
      </c>
      <c r="G265">
        <v>263</v>
      </c>
      <c r="H265" s="26">
        <v>263</v>
      </c>
      <c r="I265" s="26" t="s">
        <v>29</v>
      </c>
    </row>
    <row r="266" spans="3:9" x14ac:dyDescent="0.25">
      <c r="C266" s="26">
        <v>263</v>
      </c>
      <c r="D266" t="str">
        <f t="shared" si="4"/>
        <v>F</v>
      </c>
      <c r="G266">
        <v>264</v>
      </c>
      <c r="H266" s="26">
        <v>264</v>
      </c>
      <c r="I266" s="26" t="s">
        <v>28</v>
      </c>
    </row>
    <row r="267" spans="3:9" x14ac:dyDescent="0.25">
      <c r="C267" s="26">
        <v>264</v>
      </c>
      <c r="D267" t="str">
        <f t="shared" si="4"/>
        <v>M</v>
      </c>
      <c r="G267">
        <v>267</v>
      </c>
      <c r="H267" s="26">
        <v>265</v>
      </c>
      <c r="I267" s="26" t="s">
        <v>29</v>
      </c>
    </row>
    <row r="268" spans="3:9" x14ac:dyDescent="0.25">
      <c r="C268" s="26">
        <v>265</v>
      </c>
      <c r="D268" t="str">
        <f t="shared" si="4"/>
        <v>M</v>
      </c>
      <c r="G268">
        <v>265</v>
      </c>
      <c r="H268" s="26">
        <v>266</v>
      </c>
      <c r="I268" s="26" t="s">
        <v>28</v>
      </c>
    </row>
    <row r="269" spans="3:9" x14ac:dyDescent="0.25">
      <c r="C269" s="26">
        <v>266</v>
      </c>
      <c r="D269" t="str">
        <f t="shared" si="4"/>
        <v>F</v>
      </c>
      <c r="G269">
        <v>268</v>
      </c>
      <c r="H269" s="26">
        <v>267</v>
      </c>
      <c r="I269" s="26" t="s">
        <v>28</v>
      </c>
    </row>
    <row r="270" spans="3:9" x14ac:dyDescent="0.25">
      <c r="C270" s="26">
        <v>267</v>
      </c>
      <c r="D270" t="str">
        <f t="shared" si="4"/>
        <v>F</v>
      </c>
      <c r="G270">
        <v>269</v>
      </c>
      <c r="H270" s="26">
        <v>268</v>
      </c>
      <c r="I270" s="26" t="s">
        <v>29</v>
      </c>
    </row>
    <row r="271" spans="3:9" x14ac:dyDescent="0.25">
      <c r="C271" s="26">
        <v>268</v>
      </c>
      <c r="D271" t="str">
        <f t="shared" si="4"/>
        <v>F</v>
      </c>
      <c r="G271">
        <v>266</v>
      </c>
      <c r="H271" s="26">
        <v>269</v>
      </c>
      <c r="I271" s="26" t="s">
        <v>29</v>
      </c>
    </row>
    <row r="272" spans="3:9" x14ac:dyDescent="0.25">
      <c r="C272" s="26">
        <v>269</v>
      </c>
      <c r="D272" t="str">
        <f t="shared" si="4"/>
        <v>M</v>
      </c>
      <c r="G272">
        <v>270</v>
      </c>
      <c r="H272" s="26">
        <v>270</v>
      </c>
      <c r="I272" s="26" t="s">
        <v>28</v>
      </c>
    </row>
    <row r="273" spans="3:9" x14ac:dyDescent="0.25">
      <c r="C273" s="26">
        <v>270</v>
      </c>
      <c r="D273" t="str">
        <f t="shared" si="4"/>
        <v>M</v>
      </c>
      <c r="G273">
        <v>271</v>
      </c>
      <c r="H273" s="26">
        <v>271</v>
      </c>
      <c r="I273" s="26" t="s">
        <v>28</v>
      </c>
    </row>
    <row r="274" spans="3:9" x14ac:dyDescent="0.25">
      <c r="C274" s="26">
        <v>271</v>
      </c>
      <c r="D274" t="str">
        <f t="shared" si="4"/>
        <v>M</v>
      </c>
      <c r="G274">
        <v>272</v>
      </c>
      <c r="H274" s="26">
        <v>272</v>
      </c>
      <c r="I274" s="26" t="s">
        <v>29</v>
      </c>
    </row>
    <row r="275" spans="3:9" x14ac:dyDescent="0.25">
      <c r="C275" s="26">
        <v>272</v>
      </c>
      <c r="D275" t="str">
        <f t="shared" si="4"/>
        <v>F</v>
      </c>
      <c r="G275">
        <v>274</v>
      </c>
      <c r="H275" s="26">
        <v>273</v>
      </c>
      <c r="I275" s="26" t="s">
        <v>29</v>
      </c>
    </row>
    <row r="276" spans="3:9" x14ac:dyDescent="0.25">
      <c r="C276" s="26">
        <v>273</v>
      </c>
      <c r="D276" t="str">
        <f t="shared" si="4"/>
        <v>M</v>
      </c>
      <c r="G276">
        <v>275</v>
      </c>
      <c r="H276" s="26">
        <v>274</v>
      </c>
      <c r="I276" s="26" t="s">
        <v>28</v>
      </c>
    </row>
    <row r="277" spans="3:9" x14ac:dyDescent="0.25">
      <c r="C277" s="26">
        <v>274</v>
      </c>
      <c r="D277" t="str">
        <f t="shared" si="4"/>
        <v>M</v>
      </c>
      <c r="G277">
        <v>273</v>
      </c>
      <c r="H277" s="26">
        <v>275</v>
      </c>
      <c r="I277" s="26" t="s">
        <v>28</v>
      </c>
    </row>
    <row r="278" spans="3:9" x14ac:dyDescent="0.25">
      <c r="C278" s="26">
        <v>275</v>
      </c>
      <c r="D278" t="str">
        <f t="shared" si="4"/>
        <v>F</v>
      </c>
      <c r="G278">
        <v>278</v>
      </c>
      <c r="H278" s="26">
        <v>276</v>
      </c>
      <c r="I278" s="26" t="s">
        <v>29</v>
      </c>
    </row>
    <row r="279" spans="3:9" x14ac:dyDescent="0.25">
      <c r="C279" s="26">
        <v>276</v>
      </c>
      <c r="D279" t="str">
        <f t="shared" si="4"/>
        <v>M</v>
      </c>
      <c r="G279">
        <v>283</v>
      </c>
      <c r="H279" s="26">
        <v>277</v>
      </c>
      <c r="I279" s="26" t="s">
        <v>29</v>
      </c>
    </row>
    <row r="280" spans="3:9" x14ac:dyDescent="0.25">
      <c r="C280" s="26">
        <v>277</v>
      </c>
      <c r="D280" t="str">
        <f t="shared" si="4"/>
        <v>M</v>
      </c>
      <c r="G280">
        <v>282</v>
      </c>
      <c r="H280" s="26">
        <v>278</v>
      </c>
      <c r="I280" s="26" t="s">
        <v>28</v>
      </c>
    </row>
    <row r="281" spans="3:9" x14ac:dyDescent="0.25">
      <c r="C281" s="26">
        <v>278</v>
      </c>
      <c r="D281" t="str">
        <f t="shared" si="4"/>
        <v>M</v>
      </c>
      <c r="G281">
        <v>276</v>
      </c>
      <c r="H281" s="26">
        <v>279</v>
      </c>
      <c r="I281" s="26" t="s">
        <v>29</v>
      </c>
    </row>
    <row r="282" spans="3:9" x14ac:dyDescent="0.25">
      <c r="C282" s="26">
        <v>279</v>
      </c>
      <c r="D282" t="str">
        <f t="shared" si="4"/>
        <v>F</v>
      </c>
      <c r="G282">
        <v>281</v>
      </c>
      <c r="H282" s="26">
        <v>280</v>
      </c>
      <c r="I282" s="26" t="s">
        <v>29</v>
      </c>
    </row>
    <row r="283" spans="3:9" x14ac:dyDescent="0.25">
      <c r="C283" s="26">
        <v>280</v>
      </c>
      <c r="D283" t="str">
        <f t="shared" si="4"/>
        <v>M</v>
      </c>
      <c r="G283">
        <v>280</v>
      </c>
      <c r="H283" s="26">
        <v>281</v>
      </c>
      <c r="I283" s="26" t="s">
        <v>28</v>
      </c>
    </row>
    <row r="284" spans="3:9" x14ac:dyDescent="0.25">
      <c r="C284" s="26">
        <v>281</v>
      </c>
      <c r="D284" t="str">
        <f t="shared" si="4"/>
        <v>F</v>
      </c>
      <c r="G284">
        <v>285</v>
      </c>
      <c r="H284" s="26">
        <v>282</v>
      </c>
      <c r="I284" s="26" t="s">
        <v>28</v>
      </c>
    </row>
    <row r="285" spans="3:9" x14ac:dyDescent="0.25">
      <c r="C285" s="26">
        <v>282</v>
      </c>
      <c r="D285" t="str">
        <f t="shared" si="4"/>
        <v>M</v>
      </c>
      <c r="G285">
        <v>286</v>
      </c>
      <c r="H285" s="26">
        <v>283</v>
      </c>
      <c r="I285" s="26" t="s">
        <v>28</v>
      </c>
    </row>
    <row r="286" spans="3:9" x14ac:dyDescent="0.25">
      <c r="C286" s="26">
        <v>283</v>
      </c>
      <c r="D286" t="str">
        <f t="shared" si="4"/>
        <v>M</v>
      </c>
      <c r="G286">
        <v>277</v>
      </c>
      <c r="H286" s="26">
        <v>284</v>
      </c>
      <c r="I286" s="26" t="s">
        <v>28</v>
      </c>
    </row>
    <row r="287" spans="3:9" x14ac:dyDescent="0.25">
      <c r="C287" s="26">
        <v>284</v>
      </c>
      <c r="D287" t="str">
        <f t="shared" si="4"/>
        <v>F</v>
      </c>
      <c r="G287">
        <v>284</v>
      </c>
      <c r="H287" s="26">
        <v>285</v>
      </c>
      <c r="I287" s="26" t="s">
        <v>28</v>
      </c>
    </row>
    <row r="288" spans="3:9" x14ac:dyDescent="0.25">
      <c r="C288" s="26">
        <v>285</v>
      </c>
      <c r="D288" t="str">
        <f t="shared" si="4"/>
        <v>M</v>
      </c>
      <c r="G288">
        <v>279</v>
      </c>
      <c r="H288" s="26">
        <v>286</v>
      </c>
      <c r="I288" s="26" t="s">
        <v>28</v>
      </c>
    </row>
    <row r="289" spans="3:9" x14ac:dyDescent="0.25">
      <c r="C289" s="26">
        <v>286</v>
      </c>
      <c r="D289" t="str">
        <f t="shared" si="4"/>
        <v>F</v>
      </c>
      <c r="G289">
        <v>289</v>
      </c>
      <c r="H289" s="26">
        <v>287</v>
      </c>
      <c r="I289" s="26" t="s">
        <v>28</v>
      </c>
    </row>
    <row r="290" spans="3:9" x14ac:dyDescent="0.25">
      <c r="C290" s="26">
        <v>287</v>
      </c>
      <c r="D290" t="str">
        <f t="shared" si="4"/>
        <v>M</v>
      </c>
      <c r="G290">
        <v>288</v>
      </c>
      <c r="H290" s="26">
        <v>288</v>
      </c>
      <c r="I290" s="26" t="s">
        <v>28</v>
      </c>
    </row>
    <row r="291" spans="3:9" x14ac:dyDescent="0.25">
      <c r="C291" s="26">
        <v>288</v>
      </c>
      <c r="D291" t="str">
        <f t="shared" si="4"/>
        <v>M</v>
      </c>
      <c r="G291">
        <v>290</v>
      </c>
      <c r="H291" s="26">
        <v>289</v>
      </c>
      <c r="I291" s="26" t="s">
        <v>28</v>
      </c>
    </row>
    <row r="292" spans="3:9" x14ac:dyDescent="0.25">
      <c r="C292" s="26">
        <v>289</v>
      </c>
      <c r="D292" t="str">
        <f t="shared" si="4"/>
        <v>M</v>
      </c>
      <c r="G292">
        <v>287</v>
      </c>
      <c r="H292" s="26">
        <v>290</v>
      </c>
      <c r="I292" s="26" t="s">
        <v>28</v>
      </c>
    </row>
    <row r="293" spans="3:9" x14ac:dyDescent="0.25">
      <c r="C293" s="26">
        <v>290</v>
      </c>
      <c r="D293" t="str">
        <f t="shared" si="4"/>
        <v>M</v>
      </c>
      <c r="G293">
        <v>291</v>
      </c>
      <c r="H293" s="26">
        <v>291</v>
      </c>
      <c r="I293" s="26" t="s">
        <v>29</v>
      </c>
    </row>
    <row r="294" spans="3:9" x14ac:dyDescent="0.25">
      <c r="C294" s="26">
        <v>291</v>
      </c>
      <c r="D294" t="str">
        <f t="shared" si="4"/>
        <v>F</v>
      </c>
      <c r="G294">
        <v>292</v>
      </c>
      <c r="H294" s="26">
        <v>292</v>
      </c>
      <c r="I294" s="26" t="s">
        <v>28</v>
      </c>
    </row>
    <row r="295" spans="3:9" x14ac:dyDescent="0.25">
      <c r="C295" s="26">
        <v>292</v>
      </c>
      <c r="D295" t="str">
        <f t="shared" si="4"/>
        <v>M</v>
      </c>
      <c r="G295">
        <v>296</v>
      </c>
      <c r="H295" s="26">
        <v>293</v>
      </c>
      <c r="I295" s="26" t="s">
        <v>28</v>
      </c>
    </row>
    <row r="296" spans="3:9" x14ac:dyDescent="0.25">
      <c r="C296" s="26">
        <v>293</v>
      </c>
      <c r="D296" t="str">
        <f t="shared" si="4"/>
        <v>F</v>
      </c>
      <c r="G296">
        <v>297</v>
      </c>
      <c r="H296" s="26">
        <v>294</v>
      </c>
      <c r="I296" s="26" t="s">
        <v>28</v>
      </c>
    </row>
    <row r="297" spans="3:9" x14ac:dyDescent="0.25">
      <c r="C297" s="26">
        <v>294</v>
      </c>
      <c r="D297" t="str">
        <f t="shared" si="4"/>
        <v>M</v>
      </c>
      <c r="G297">
        <v>294</v>
      </c>
      <c r="H297" s="26">
        <v>295</v>
      </c>
      <c r="I297" s="26" t="s">
        <v>29</v>
      </c>
    </row>
    <row r="298" spans="3:9" x14ac:dyDescent="0.25">
      <c r="C298" s="26">
        <v>295</v>
      </c>
      <c r="D298" t="str">
        <f t="shared" si="4"/>
        <v>M</v>
      </c>
      <c r="G298">
        <v>293</v>
      </c>
      <c r="H298" s="26">
        <v>296</v>
      </c>
      <c r="I298" s="26" t="s">
        <v>29</v>
      </c>
    </row>
    <row r="299" spans="3:9" x14ac:dyDescent="0.25">
      <c r="C299" s="26">
        <v>296</v>
      </c>
      <c r="D299" t="str">
        <f t="shared" si="4"/>
        <v>M</v>
      </c>
      <c r="G299">
        <v>295</v>
      </c>
      <c r="H299" s="26">
        <v>297</v>
      </c>
      <c r="I299" s="26" t="s">
        <v>28</v>
      </c>
    </row>
    <row r="300" spans="3:9" x14ac:dyDescent="0.25">
      <c r="C300" s="26">
        <v>297</v>
      </c>
      <c r="D300" t="str">
        <f t="shared" si="4"/>
        <v>F</v>
      </c>
      <c r="G300">
        <v>299</v>
      </c>
      <c r="H300" s="26">
        <v>298</v>
      </c>
      <c r="I300" s="26" t="s">
        <v>28</v>
      </c>
    </row>
    <row r="301" spans="3:9" x14ac:dyDescent="0.25">
      <c r="C301" s="26">
        <v>298</v>
      </c>
      <c r="D301" t="str">
        <f t="shared" si="4"/>
        <v>F</v>
      </c>
      <c r="G301">
        <v>298</v>
      </c>
      <c r="H301" s="26">
        <v>299</v>
      </c>
      <c r="I301" s="26" t="s">
        <v>29</v>
      </c>
    </row>
    <row r="302" spans="3:9" x14ac:dyDescent="0.25">
      <c r="C302" s="26">
        <v>299</v>
      </c>
      <c r="D302" t="str">
        <f t="shared" si="4"/>
        <v>M</v>
      </c>
      <c r="G302">
        <v>301</v>
      </c>
      <c r="H302" s="26">
        <v>300</v>
      </c>
      <c r="I302" s="26" t="s">
        <v>28</v>
      </c>
    </row>
    <row r="303" spans="3:9" x14ac:dyDescent="0.25">
      <c r="C303" s="26">
        <v>300</v>
      </c>
      <c r="D303" t="str">
        <f t="shared" si="4"/>
        <v>M</v>
      </c>
      <c r="G303">
        <v>300</v>
      </c>
      <c r="H303" s="26">
        <v>301</v>
      </c>
      <c r="I303" s="26" t="s">
        <v>28</v>
      </c>
    </row>
    <row r="304" spans="3:9" x14ac:dyDescent="0.25">
      <c r="C304" s="26">
        <v>301</v>
      </c>
      <c r="D304" t="str">
        <f t="shared" si="4"/>
        <v>M</v>
      </c>
      <c r="G304">
        <v>303</v>
      </c>
      <c r="H304" s="26">
        <v>302</v>
      </c>
      <c r="I304" s="26" t="s">
        <v>28</v>
      </c>
    </row>
    <row r="305" spans="3:9" x14ac:dyDescent="0.25">
      <c r="C305" s="26">
        <v>302</v>
      </c>
      <c r="D305" t="str">
        <f t="shared" si="4"/>
        <v>F</v>
      </c>
      <c r="G305">
        <v>305</v>
      </c>
      <c r="H305" s="26">
        <v>303</v>
      </c>
      <c r="I305" s="26" t="s">
        <v>29</v>
      </c>
    </row>
    <row r="306" spans="3:9" x14ac:dyDescent="0.25">
      <c r="C306" s="26">
        <v>303</v>
      </c>
      <c r="D306" t="str">
        <f t="shared" si="4"/>
        <v>M</v>
      </c>
      <c r="G306">
        <v>306</v>
      </c>
      <c r="H306" s="26">
        <v>304</v>
      </c>
      <c r="I306" s="26" t="s">
        <v>28</v>
      </c>
    </row>
    <row r="307" spans="3:9" x14ac:dyDescent="0.25">
      <c r="C307" s="26">
        <v>304</v>
      </c>
      <c r="D307" t="str">
        <f t="shared" si="4"/>
        <v>M</v>
      </c>
      <c r="G307">
        <v>309</v>
      </c>
      <c r="H307" s="26">
        <v>305</v>
      </c>
      <c r="I307" s="26" t="s">
        <v>28</v>
      </c>
    </row>
    <row r="308" spans="3:9" x14ac:dyDescent="0.25">
      <c r="C308" s="26">
        <v>305</v>
      </c>
      <c r="D308" t="str">
        <f t="shared" si="4"/>
        <v>M</v>
      </c>
      <c r="G308">
        <v>304</v>
      </c>
      <c r="H308" s="26">
        <v>306</v>
      </c>
      <c r="I308" s="26" t="s">
        <v>28</v>
      </c>
    </row>
    <row r="309" spans="3:9" x14ac:dyDescent="0.25">
      <c r="C309" s="26">
        <v>306</v>
      </c>
      <c r="D309" t="str">
        <f t="shared" si="4"/>
        <v>M</v>
      </c>
      <c r="G309">
        <v>310</v>
      </c>
      <c r="H309" s="26">
        <v>307</v>
      </c>
      <c r="I309" s="26" t="s">
        <v>28</v>
      </c>
    </row>
    <row r="310" spans="3:9" x14ac:dyDescent="0.25">
      <c r="C310" s="26">
        <v>307</v>
      </c>
      <c r="D310" t="str">
        <f t="shared" si="4"/>
        <v>M</v>
      </c>
      <c r="G310">
        <v>307</v>
      </c>
      <c r="H310" s="26">
        <v>308</v>
      </c>
      <c r="I310" s="26" t="s">
        <v>28</v>
      </c>
    </row>
    <row r="311" spans="3:9" x14ac:dyDescent="0.25">
      <c r="C311" s="26">
        <v>308</v>
      </c>
      <c r="D311" t="str">
        <f t="shared" si="4"/>
        <v>M</v>
      </c>
      <c r="G311">
        <v>302</v>
      </c>
      <c r="H311" s="26">
        <v>309</v>
      </c>
      <c r="I311" s="26" t="s">
        <v>28</v>
      </c>
    </row>
    <row r="312" spans="3:9" x14ac:dyDescent="0.25">
      <c r="C312" s="26">
        <v>309</v>
      </c>
      <c r="D312" t="str">
        <f t="shared" si="4"/>
        <v>M</v>
      </c>
      <c r="G312">
        <v>311</v>
      </c>
      <c r="H312" s="26">
        <v>310</v>
      </c>
      <c r="I312" s="26" t="s">
        <v>28</v>
      </c>
    </row>
    <row r="313" spans="3:9" x14ac:dyDescent="0.25">
      <c r="C313" s="26">
        <v>310</v>
      </c>
      <c r="D313" t="str">
        <f t="shared" si="4"/>
        <v>M</v>
      </c>
      <c r="G313">
        <v>308</v>
      </c>
      <c r="H313" s="26">
        <v>311</v>
      </c>
      <c r="I313" s="26" t="s">
        <v>28</v>
      </c>
    </row>
    <row r="314" spans="3:9" x14ac:dyDescent="0.25">
      <c r="C314" s="26">
        <v>311</v>
      </c>
      <c r="D314" t="str">
        <f t="shared" si="4"/>
        <v>M</v>
      </c>
      <c r="G314">
        <v>312</v>
      </c>
      <c r="H314" s="26">
        <v>312</v>
      </c>
      <c r="I314" s="26" t="s">
        <v>28</v>
      </c>
    </row>
    <row r="315" spans="3:9" x14ac:dyDescent="0.25">
      <c r="C315" s="26">
        <v>312</v>
      </c>
      <c r="D315" t="str">
        <f t="shared" si="4"/>
        <v>M</v>
      </c>
      <c r="G315">
        <v>313</v>
      </c>
      <c r="H315" s="26">
        <v>313</v>
      </c>
      <c r="I315" s="26" t="s">
        <v>29</v>
      </c>
    </row>
    <row r="316" spans="3:9" x14ac:dyDescent="0.25">
      <c r="C316" s="26">
        <v>313</v>
      </c>
      <c r="D316" t="str">
        <f t="shared" si="4"/>
        <v>F</v>
      </c>
      <c r="G316">
        <v>315</v>
      </c>
      <c r="H316" s="26">
        <v>314</v>
      </c>
      <c r="I316" s="26" t="s">
        <v>28</v>
      </c>
    </row>
    <row r="317" spans="3:9" x14ac:dyDescent="0.25">
      <c r="C317" s="26">
        <v>314</v>
      </c>
      <c r="D317" t="str">
        <f t="shared" si="4"/>
        <v>F</v>
      </c>
      <c r="G317">
        <v>314</v>
      </c>
      <c r="H317" s="26">
        <v>315</v>
      </c>
      <c r="I317" s="26" t="s">
        <v>29</v>
      </c>
    </row>
    <row r="318" spans="3:9" x14ac:dyDescent="0.25">
      <c r="C318" s="26">
        <v>315</v>
      </c>
      <c r="D318" t="str">
        <f t="shared" si="4"/>
        <v>M</v>
      </c>
      <c r="G318">
        <v>316</v>
      </c>
      <c r="H318" s="26">
        <v>316</v>
      </c>
      <c r="I318" s="26" t="s">
        <v>28</v>
      </c>
    </row>
    <row r="319" spans="3:9" x14ac:dyDescent="0.25">
      <c r="C319" s="26">
        <v>316</v>
      </c>
      <c r="D319" t="str">
        <f t="shared" si="4"/>
        <v>M</v>
      </c>
      <c r="G319">
        <v>317</v>
      </c>
      <c r="H319" s="26">
        <v>317</v>
      </c>
      <c r="I319" s="26" t="s">
        <v>28</v>
      </c>
    </row>
    <row r="320" spans="3:9" x14ac:dyDescent="0.25">
      <c r="C320" s="26">
        <v>317</v>
      </c>
      <c r="D320" t="str">
        <f t="shared" si="4"/>
        <v>M</v>
      </c>
      <c r="G320">
        <v>319</v>
      </c>
      <c r="H320" s="26">
        <v>318</v>
      </c>
      <c r="I320" s="26" t="s">
        <v>28</v>
      </c>
    </row>
    <row r="321" spans="3:9" x14ac:dyDescent="0.25">
      <c r="C321" s="26">
        <v>318</v>
      </c>
      <c r="D321" t="str">
        <f t="shared" si="4"/>
        <v>M</v>
      </c>
      <c r="G321">
        <v>318</v>
      </c>
      <c r="H321" s="26">
        <v>319</v>
      </c>
      <c r="I321" s="26" t="s">
        <v>28</v>
      </c>
    </row>
    <row r="322" spans="3:9" x14ac:dyDescent="0.25">
      <c r="C322" s="26">
        <v>319</v>
      </c>
      <c r="D322" t="str">
        <f t="shared" si="4"/>
        <v>M</v>
      </c>
      <c r="G322">
        <v>320</v>
      </c>
      <c r="H322" s="26">
        <v>320</v>
      </c>
      <c r="I322" s="26" t="s">
        <v>29</v>
      </c>
    </row>
    <row r="323" spans="3:9" x14ac:dyDescent="0.25">
      <c r="C323" s="26">
        <v>320</v>
      </c>
      <c r="D323" t="str">
        <f t="shared" ref="D323:D386" si="5">VLOOKUP(G322,$H$2:$I$454,2,FALSE)</f>
        <v>F</v>
      </c>
      <c r="G323">
        <v>321</v>
      </c>
      <c r="H323" s="26">
        <v>321</v>
      </c>
      <c r="I323" s="26" t="s">
        <v>28</v>
      </c>
    </row>
    <row r="324" spans="3:9" x14ac:dyDescent="0.25">
      <c r="C324" s="26">
        <v>321</v>
      </c>
      <c r="D324" t="str">
        <f t="shared" si="5"/>
        <v>M</v>
      </c>
      <c r="G324">
        <v>322</v>
      </c>
      <c r="H324" s="26">
        <v>322</v>
      </c>
      <c r="I324" s="26" t="s">
        <v>28</v>
      </c>
    </row>
    <row r="325" spans="3:9" x14ac:dyDescent="0.25">
      <c r="C325" s="26">
        <v>322</v>
      </c>
      <c r="D325" t="str">
        <f t="shared" si="5"/>
        <v>M</v>
      </c>
      <c r="G325">
        <v>323</v>
      </c>
      <c r="H325" s="26">
        <v>323</v>
      </c>
      <c r="I325" s="26" t="s">
        <v>29</v>
      </c>
    </row>
    <row r="326" spans="3:9" x14ac:dyDescent="0.25">
      <c r="C326" s="26">
        <v>323</v>
      </c>
      <c r="D326" t="str">
        <f t="shared" si="5"/>
        <v>F</v>
      </c>
      <c r="G326">
        <v>325</v>
      </c>
      <c r="H326" s="26">
        <v>324</v>
      </c>
      <c r="I326" s="26" t="s">
        <v>28</v>
      </c>
    </row>
    <row r="327" spans="3:9" x14ac:dyDescent="0.25">
      <c r="C327" s="26">
        <v>324</v>
      </c>
      <c r="D327" t="str">
        <f t="shared" si="5"/>
        <v>M</v>
      </c>
      <c r="G327">
        <v>324</v>
      </c>
      <c r="H327" s="26">
        <v>325</v>
      </c>
      <c r="I327" s="26" t="s">
        <v>28</v>
      </c>
    </row>
    <row r="328" spans="3:9" x14ac:dyDescent="0.25">
      <c r="C328" s="26">
        <v>325</v>
      </c>
      <c r="D328" t="str">
        <f t="shared" si="5"/>
        <v>M</v>
      </c>
      <c r="G328">
        <v>326</v>
      </c>
      <c r="H328" s="26">
        <v>326</v>
      </c>
      <c r="I328" s="26" t="s">
        <v>28</v>
      </c>
    </row>
    <row r="329" spans="3:9" x14ac:dyDescent="0.25">
      <c r="C329" s="26">
        <v>326</v>
      </c>
      <c r="D329" t="str">
        <f t="shared" si="5"/>
        <v>M</v>
      </c>
      <c r="G329">
        <v>327</v>
      </c>
      <c r="H329" s="26">
        <v>327</v>
      </c>
      <c r="I329" s="26" t="s">
        <v>28</v>
      </c>
    </row>
    <row r="330" spans="3:9" x14ac:dyDescent="0.25">
      <c r="C330" s="26">
        <v>327</v>
      </c>
      <c r="D330" t="str">
        <f t="shared" si="5"/>
        <v>M</v>
      </c>
      <c r="G330">
        <v>328</v>
      </c>
      <c r="H330" s="26">
        <v>328</v>
      </c>
      <c r="I330" s="26" t="s">
        <v>28</v>
      </c>
    </row>
    <row r="331" spans="3:9" x14ac:dyDescent="0.25">
      <c r="C331" s="26">
        <v>328</v>
      </c>
      <c r="D331" t="str">
        <f t="shared" si="5"/>
        <v>M</v>
      </c>
      <c r="G331">
        <v>330</v>
      </c>
      <c r="H331" s="26">
        <v>329</v>
      </c>
      <c r="I331" s="26" t="s">
        <v>29</v>
      </c>
    </row>
    <row r="332" spans="3:9" x14ac:dyDescent="0.25">
      <c r="C332" s="26">
        <v>329</v>
      </c>
      <c r="D332" t="str">
        <f t="shared" si="5"/>
        <v>M</v>
      </c>
      <c r="G332">
        <v>329</v>
      </c>
      <c r="H332" s="26">
        <v>330</v>
      </c>
      <c r="I332" s="26" t="s">
        <v>28</v>
      </c>
    </row>
    <row r="333" spans="3:9" x14ac:dyDescent="0.25">
      <c r="C333" s="26">
        <v>330</v>
      </c>
      <c r="D333" t="str">
        <f t="shared" si="5"/>
        <v>F</v>
      </c>
      <c r="G333">
        <v>331</v>
      </c>
      <c r="H333" s="26">
        <v>331</v>
      </c>
      <c r="I333" s="26" t="s">
        <v>28</v>
      </c>
    </row>
    <row r="334" spans="3:9" x14ac:dyDescent="0.25">
      <c r="C334" s="26">
        <v>331</v>
      </c>
      <c r="D334" t="str">
        <f t="shared" si="5"/>
        <v>M</v>
      </c>
      <c r="G334">
        <v>332</v>
      </c>
      <c r="H334" s="26">
        <v>332</v>
      </c>
      <c r="I334" s="26" t="s">
        <v>28</v>
      </c>
    </row>
    <row r="335" spans="3:9" x14ac:dyDescent="0.25">
      <c r="C335" s="26">
        <v>332</v>
      </c>
      <c r="D335" t="str">
        <f t="shared" si="5"/>
        <v>M</v>
      </c>
      <c r="G335">
        <v>334</v>
      </c>
      <c r="H335" s="26">
        <v>333</v>
      </c>
      <c r="I335" s="26" t="s">
        <v>28</v>
      </c>
    </row>
    <row r="336" spans="3:9" x14ac:dyDescent="0.25">
      <c r="C336" s="26">
        <v>333</v>
      </c>
      <c r="D336" t="str">
        <f t="shared" si="5"/>
        <v>M</v>
      </c>
      <c r="G336">
        <v>335</v>
      </c>
      <c r="H336" s="26">
        <v>334</v>
      </c>
      <c r="I336" s="26" t="s">
        <v>28</v>
      </c>
    </row>
    <row r="337" spans="3:9" x14ac:dyDescent="0.25">
      <c r="C337" s="26">
        <v>334</v>
      </c>
      <c r="D337" t="str">
        <f t="shared" si="5"/>
        <v>M</v>
      </c>
      <c r="G337">
        <v>339</v>
      </c>
      <c r="H337" s="26">
        <v>335</v>
      </c>
      <c r="I337" s="26" t="s">
        <v>28</v>
      </c>
    </row>
    <row r="338" spans="3:9" x14ac:dyDescent="0.25">
      <c r="C338" s="26">
        <v>335</v>
      </c>
      <c r="D338" t="str">
        <f t="shared" si="5"/>
        <v>M</v>
      </c>
      <c r="G338">
        <v>336</v>
      </c>
      <c r="H338" s="26">
        <v>336</v>
      </c>
      <c r="I338" s="26" t="s">
        <v>28</v>
      </c>
    </row>
    <row r="339" spans="3:9" x14ac:dyDescent="0.25">
      <c r="C339" s="26">
        <v>336</v>
      </c>
      <c r="D339" t="str">
        <f t="shared" si="5"/>
        <v>M</v>
      </c>
      <c r="G339">
        <v>338</v>
      </c>
      <c r="H339" s="26">
        <v>337</v>
      </c>
      <c r="I339" s="26" t="s">
        <v>29</v>
      </c>
    </row>
    <row r="340" spans="3:9" x14ac:dyDescent="0.25">
      <c r="C340" s="26">
        <v>337</v>
      </c>
      <c r="D340" t="str">
        <f t="shared" si="5"/>
        <v>M</v>
      </c>
      <c r="G340">
        <v>340</v>
      </c>
      <c r="H340" s="26">
        <v>338</v>
      </c>
      <c r="I340" s="26" t="s">
        <v>28</v>
      </c>
    </row>
    <row r="341" spans="3:9" x14ac:dyDescent="0.25">
      <c r="C341" s="26">
        <v>338</v>
      </c>
      <c r="D341" t="str">
        <f t="shared" si="5"/>
        <v>F</v>
      </c>
      <c r="G341">
        <v>333</v>
      </c>
      <c r="H341" s="26">
        <v>339</v>
      </c>
      <c r="I341" s="26" t="s">
        <v>28</v>
      </c>
    </row>
    <row r="342" spans="3:9" x14ac:dyDescent="0.25">
      <c r="C342" s="26">
        <v>339</v>
      </c>
      <c r="D342" t="str">
        <f t="shared" si="5"/>
        <v>M</v>
      </c>
      <c r="G342">
        <v>341</v>
      </c>
      <c r="H342" s="26">
        <v>340</v>
      </c>
      <c r="I342" s="26" t="s">
        <v>29</v>
      </c>
    </row>
    <row r="343" spans="3:9" x14ac:dyDescent="0.25">
      <c r="C343" s="26">
        <v>340</v>
      </c>
      <c r="D343" t="str">
        <f t="shared" si="5"/>
        <v>F</v>
      </c>
      <c r="G343">
        <v>342</v>
      </c>
      <c r="H343" s="26">
        <v>341</v>
      </c>
      <c r="I343" s="26" t="s">
        <v>29</v>
      </c>
    </row>
    <row r="344" spans="3:9" x14ac:dyDescent="0.25">
      <c r="C344" s="26">
        <v>341</v>
      </c>
      <c r="D344" t="str">
        <f t="shared" si="5"/>
        <v>M</v>
      </c>
      <c r="G344">
        <v>343</v>
      </c>
      <c r="H344" s="26">
        <v>342</v>
      </c>
      <c r="I344" s="26" t="s">
        <v>28</v>
      </c>
    </row>
    <row r="345" spans="3:9" x14ac:dyDescent="0.25">
      <c r="C345" s="26">
        <v>342</v>
      </c>
      <c r="D345" t="str">
        <f t="shared" si="5"/>
        <v>F</v>
      </c>
      <c r="G345">
        <v>344</v>
      </c>
      <c r="H345" s="26">
        <v>343</v>
      </c>
      <c r="I345" s="26" t="s">
        <v>29</v>
      </c>
    </row>
    <row r="346" spans="3:9" x14ac:dyDescent="0.25">
      <c r="C346" s="26">
        <v>343</v>
      </c>
      <c r="D346" t="str">
        <f t="shared" si="5"/>
        <v>F</v>
      </c>
      <c r="G346">
        <v>345</v>
      </c>
      <c r="H346" s="26">
        <v>344</v>
      </c>
      <c r="I346" s="26" t="s">
        <v>29</v>
      </c>
    </row>
    <row r="347" spans="3:9" x14ac:dyDescent="0.25">
      <c r="C347" s="26">
        <v>344</v>
      </c>
      <c r="D347" t="str">
        <f t="shared" si="5"/>
        <v>M</v>
      </c>
      <c r="G347">
        <v>346</v>
      </c>
      <c r="H347" s="26">
        <v>345</v>
      </c>
      <c r="I347" s="26" t="s">
        <v>28</v>
      </c>
    </row>
    <row r="348" spans="3:9" x14ac:dyDescent="0.25">
      <c r="C348" s="26">
        <v>345</v>
      </c>
      <c r="D348" t="str">
        <f t="shared" si="5"/>
        <v>M</v>
      </c>
      <c r="G348">
        <v>348</v>
      </c>
      <c r="H348" s="26">
        <v>346</v>
      </c>
      <c r="I348" s="26" t="s">
        <v>28</v>
      </c>
    </row>
    <row r="349" spans="3:9" x14ac:dyDescent="0.25">
      <c r="C349" s="26">
        <v>346</v>
      </c>
      <c r="D349" t="str">
        <f t="shared" si="5"/>
        <v>M</v>
      </c>
      <c r="G349">
        <v>337</v>
      </c>
      <c r="H349" s="26">
        <v>347</v>
      </c>
      <c r="I349" s="26" t="s">
        <v>29</v>
      </c>
    </row>
    <row r="350" spans="3:9" x14ac:dyDescent="0.25">
      <c r="C350" s="26">
        <v>347</v>
      </c>
      <c r="D350" t="str">
        <f t="shared" si="5"/>
        <v>F</v>
      </c>
      <c r="G350">
        <v>349</v>
      </c>
      <c r="H350" s="26">
        <v>348</v>
      </c>
      <c r="I350" s="26" t="s">
        <v>28</v>
      </c>
    </row>
    <row r="351" spans="3:9" x14ac:dyDescent="0.25">
      <c r="C351" s="26">
        <v>348</v>
      </c>
      <c r="D351" t="str">
        <f t="shared" si="5"/>
        <v>M</v>
      </c>
      <c r="G351">
        <v>347</v>
      </c>
      <c r="H351" s="26">
        <v>349</v>
      </c>
      <c r="I351" s="26" t="s">
        <v>28</v>
      </c>
    </row>
    <row r="352" spans="3:9" x14ac:dyDescent="0.25">
      <c r="C352" s="26">
        <v>349</v>
      </c>
      <c r="D352" t="str">
        <f t="shared" si="5"/>
        <v>F</v>
      </c>
      <c r="G352">
        <v>350</v>
      </c>
      <c r="H352" s="26">
        <v>350</v>
      </c>
      <c r="I352" s="26" t="s">
        <v>28</v>
      </c>
    </row>
    <row r="353" spans="3:9" x14ac:dyDescent="0.25">
      <c r="C353" s="26">
        <v>350</v>
      </c>
      <c r="D353" t="str">
        <f t="shared" si="5"/>
        <v>M</v>
      </c>
      <c r="G353">
        <v>351</v>
      </c>
      <c r="H353" s="26">
        <v>351</v>
      </c>
      <c r="I353" s="26" t="s">
        <v>29</v>
      </c>
    </row>
    <row r="354" spans="3:9" x14ac:dyDescent="0.25">
      <c r="C354" s="26">
        <v>351</v>
      </c>
      <c r="D354" t="str">
        <f t="shared" si="5"/>
        <v>F</v>
      </c>
      <c r="G354">
        <v>355</v>
      </c>
      <c r="H354" s="26">
        <v>352</v>
      </c>
      <c r="I354" s="26" t="s">
        <v>28</v>
      </c>
    </row>
    <row r="355" spans="3:9" x14ac:dyDescent="0.25">
      <c r="C355" s="26">
        <v>352</v>
      </c>
      <c r="D355" t="str">
        <f t="shared" si="5"/>
        <v>F</v>
      </c>
      <c r="G355">
        <v>352</v>
      </c>
      <c r="H355" s="26">
        <v>353</v>
      </c>
      <c r="I355" s="26" t="s">
        <v>29</v>
      </c>
    </row>
    <row r="356" spans="3:9" x14ac:dyDescent="0.25">
      <c r="C356" s="26">
        <v>353</v>
      </c>
      <c r="D356" t="str">
        <f t="shared" si="5"/>
        <v>M</v>
      </c>
      <c r="G356">
        <v>354</v>
      </c>
      <c r="H356" s="26">
        <v>354</v>
      </c>
      <c r="I356" s="26" t="s">
        <v>28</v>
      </c>
    </row>
    <row r="357" spans="3:9" x14ac:dyDescent="0.25">
      <c r="C357" s="26">
        <v>354</v>
      </c>
      <c r="D357" t="str">
        <f t="shared" si="5"/>
        <v>M</v>
      </c>
      <c r="G357">
        <v>357</v>
      </c>
      <c r="H357" s="26">
        <v>355</v>
      </c>
      <c r="I357" s="26" t="s">
        <v>29</v>
      </c>
    </row>
    <row r="358" spans="3:9" x14ac:dyDescent="0.25">
      <c r="C358" s="26">
        <v>355</v>
      </c>
      <c r="D358" t="str">
        <f t="shared" si="5"/>
        <v>M</v>
      </c>
      <c r="G358">
        <v>358</v>
      </c>
      <c r="H358" s="26">
        <v>356</v>
      </c>
      <c r="I358" s="26" t="s">
        <v>28</v>
      </c>
    </row>
    <row r="359" spans="3:9" x14ac:dyDescent="0.25">
      <c r="C359" s="26">
        <v>356</v>
      </c>
      <c r="D359" t="str">
        <f t="shared" si="5"/>
        <v>M</v>
      </c>
      <c r="G359">
        <v>359</v>
      </c>
      <c r="H359" s="26">
        <v>357</v>
      </c>
      <c r="I359" s="26" t="s">
        <v>28</v>
      </c>
    </row>
    <row r="360" spans="3:9" x14ac:dyDescent="0.25">
      <c r="C360" s="26">
        <v>357</v>
      </c>
      <c r="D360" t="str">
        <f t="shared" si="5"/>
        <v>M</v>
      </c>
      <c r="G360">
        <v>353</v>
      </c>
      <c r="H360" s="26">
        <v>358</v>
      </c>
      <c r="I360" s="26" t="s">
        <v>28</v>
      </c>
    </row>
    <row r="361" spans="3:9" x14ac:dyDescent="0.25">
      <c r="C361" s="26">
        <v>358</v>
      </c>
      <c r="D361" t="str">
        <f t="shared" si="5"/>
        <v>F</v>
      </c>
      <c r="G361">
        <v>356</v>
      </c>
      <c r="H361" s="26">
        <v>359</v>
      </c>
      <c r="I361" s="26" t="s">
        <v>28</v>
      </c>
    </row>
    <row r="362" spans="3:9" x14ac:dyDescent="0.25">
      <c r="C362" s="26">
        <v>359</v>
      </c>
      <c r="D362" t="str">
        <f t="shared" si="5"/>
        <v>M</v>
      </c>
      <c r="G362">
        <v>360</v>
      </c>
      <c r="H362" s="26">
        <v>360</v>
      </c>
      <c r="I362" s="26" t="s">
        <v>28</v>
      </c>
    </row>
    <row r="363" spans="3:9" x14ac:dyDescent="0.25">
      <c r="C363" s="26">
        <v>360</v>
      </c>
      <c r="D363" t="str">
        <f t="shared" si="5"/>
        <v>M</v>
      </c>
      <c r="G363">
        <v>364</v>
      </c>
      <c r="H363" s="26">
        <v>361</v>
      </c>
      <c r="I363" s="26" t="s">
        <v>29</v>
      </c>
    </row>
    <row r="364" spans="3:9" x14ac:dyDescent="0.25">
      <c r="C364" s="26">
        <v>361</v>
      </c>
      <c r="D364" t="str">
        <f t="shared" si="5"/>
        <v>M</v>
      </c>
      <c r="G364">
        <v>365</v>
      </c>
      <c r="H364" s="26">
        <v>362</v>
      </c>
      <c r="I364" s="26" t="s">
        <v>28</v>
      </c>
    </row>
    <row r="365" spans="3:9" x14ac:dyDescent="0.25">
      <c r="C365" s="26">
        <v>362</v>
      </c>
      <c r="D365" t="str">
        <f t="shared" si="5"/>
        <v>F</v>
      </c>
      <c r="G365">
        <v>361</v>
      </c>
      <c r="H365" s="26">
        <v>363</v>
      </c>
      <c r="I365" s="26" t="s">
        <v>28</v>
      </c>
    </row>
    <row r="366" spans="3:9" x14ac:dyDescent="0.25">
      <c r="C366" s="26">
        <v>363</v>
      </c>
      <c r="D366" t="str">
        <f t="shared" si="5"/>
        <v>F</v>
      </c>
      <c r="G366">
        <v>366</v>
      </c>
      <c r="H366" s="26">
        <v>364</v>
      </c>
      <c r="I366" s="26" t="s">
        <v>28</v>
      </c>
    </row>
    <row r="367" spans="3:9" x14ac:dyDescent="0.25">
      <c r="C367" s="26">
        <v>364</v>
      </c>
      <c r="D367" t="str">
        <f t="shared" si="5"/>
        <v>M</v>
      </c>
      <c r="G367">
        <v>362</v>
      </c>
      <c r="H367" s="26">
        <v>365</v>
      </c>
      <c r="I367" s="26" t="s">
        <v>29</v>
      </c>
    </row>
    <row r="368" spans="3:9" x14ac:dyDescent="0.25">
      <c r="C368" s="26">
        <v>365</v>
      </c>
      <c r="D368" t="str">
        <f t="shared" si="5"/>
        <v>M</v>
      </c>
      <c r="G368">
        <v>369</v>
      </c>
      <c r="H368" s="26">
        <v>366</v>
      </c>
      <c r="I368" s="26" t="s">
        <v>28</v>
      </c>
    </row>
    <row r="369" spans="3:9" x14ac:dyDescent="0.25">
      <c r="C369" s="26">
        <v>366</v>
      </c>
      <c r="D369" t="str">
        <f t="shared" si="5"/>
        <v>M</v>
      </c>
      <c r="G369">
        <v>363</v>
      </c>
      <c r="H369" s="26">
        <v>367</v>
      </c>
      <c r="I369" s="26" t="s">
        <v>28</v>
      </c>
    </row>
    <row r="370" spans="3:9" x14ac:dyDescent="0.25">
      <c r="C370" s="26">
        <v>367</v>
      </c>
      <c r="D370" t="str">
        <f t="shared" si="5"/>
        <v>M</v>
      </c>
      <c r="G370">
        <v>372</v>
      </c>
      <c r="H370" s="26">
        <v>368</v>
      </c>
      <c r="I370" s="26" t="s">
        <v>28</v>
      </c>
    </row>
    <row r="371" spans="3:9" x14ac:dyDescent="0.25">
      <c r="C371" s="26">
        <v>368</v>
      </c>
      <c r="D371" t="str">
        <f t="shared" si="5"/>
        <v>F</v>
      </c>
      <c r="G371">
        <v>371</v>
      </c>
      <c r="H371" s="26">
        <v>369</v>
      </c>
      <c r="I371" s="26" t="s">
        <v>28</v>
      </c>
    </row>
    <row r="372" spans="3:9" x14ac:dyDescent="0.25">
      <c r="C372" s="26">
        <v>369</v>
      </c>
      <c r="D372" t="str">
        <f t="shared" si="5"/>
        <v>F</v>
      </c>
      <c r="G372">
        <v>373</v>
      </c>
      <c r="H372" s="26">
        <v>370</v>
      </c>
      <c r="I372" s="26" t="s">
        <v>28</v>
      </c>
    </row>
    <row r="373" spans="3:9" x14ac:dyDescent="0.25">
      <c r="C373" s="26">
        <v>370</v>
      </c>
      <c r="D373" t="str">
        <f t="shared" si="5"/>
        <v>M</v>
      </c>
      <c r="G373">
        <v>370</v>
      </c>
      <c r="H373" s="26">
        <v>371</v>
      </c>
      <c r="I373" s="26" t="s">
        <v>29</v>
      </c>
    </row>
    <row r="374" spans="3:9" x14ac:dyDescent="0.25">
      <c r="C374" s="26">
        <v>371</v>
      </c>
      <c r="D374" t="str">
        <f t="shared" si="5"/>
        <v>M</v>
      </c>
      <c r="G374">
        <v>374</v>
      </c>
      <c r="H374" s="26">
        <v>372</v>
      </c>
      <c r="I374" s="26" t="s">
        <v>29</v>
      </c>
    </row>
    <row r="375" spans="3:9" x14ac:dyDescent="0.25">
      <c r="C375" s="26">
        <v>372</v>
      </c>
      <c r="D375" t="str">
        <f t="shared" si="5"/>
        <v>M</v>
      </c>
      <c r="G375">
        <v>367</v>
      </c>
      <c r="H375" s="26">
        <v>373</v>
      </c>
      <c r="I375" s="26" t="s">
        <v>28</v>
      </c>
    </row>
    <row r="376" spans="3:9" x14ac:dyDescent="0.25">
      <c r="C376" s="26">
        <v>373</v>
      </c>
      <c r="D376" t="str">
        <f t="shared" si="5"/>
        <v>M</v>
      </c>
      <c r="G376">
        <v>368</v>
      </c>
      <c r="H376" s="26">
        <v>374</v>
      </c>
      <c r="I376" s="26" t="s">
        <v>28</v>
      </c>
    </row>
    <row r="377" spans="3:9" x14ac:dyDescent="0.25">
      <c r="C377" s="26">
        <v>374</v>
      </c>
      <c r="D377" t="str">
        <f t="shared" si="5"/>
        <v>M</v>
      </c>
      <c r="G377">
        <v>375</v>
      </c>
      <c r="H377" s="26">
        <v>375</v>
      </c>
      <c r="I377" s="26" t="s">
        <v>29</v>
      </c>
    </row>
    <row r="378" spans="3:9" x14ac:dyDescent="0.25">
      <c r="C378" s="26">
        <v>375</v>
      </c>
      <c r="D378" t="str">
        <f t="shared" si="5"/>
        <v>F</v>
      </c>
      <c r="G378">
        <v>376</v>
      </c>
      <c r="H378" s="26">
        <v>376</v>
      </c>
      <c r="I378" s="26" t="s">
        <v>28</v>
      </c>
    </row>
    <row r="379" spans="3:9" x14ac:dyDescent="0.25">
      <c r="C379" s="26">
        <v>376</v>
      </c>
      <c r="D379" t="str">
        <f t="shared" si="5"/>
        <v>M</v>
      </c>
      <c r="G379">
        <v>377</v>
      </c>
      <c r="H379" s="26">
        <v>377</v>
      </c>
      <c r="I379" s="26" t="s">
        <v>28</v>
      </c>
    </row>
    <row r="380" spans="3:9" x14ac:dyDescent="0.25">
      <c r="C380" s="26">
        <v>377</v>
      </c>
      <c r="D380" t="str">
        <f t="shared" si="5"/>
        <v>M</v>
      </c>
      <c r="G380">
        <v>378</v>
      </c>
      <c r="H380" s="26">
        <v>378</v>
      </c>
      <c r="I380" s="26" t="s">
        <v>28</v>
      </c>
    </row>
    <row r="381" spans="3:9" x14ac:dyDescent="0.25">
      <c r="C381" s="26">
        <v>378</v>
      </c>
      <c r="D381" t="str">
        <f t="shared" si="5"/>
        <v>M</v>
      </c>
      <c r="G381">
        <v>380</v>
      </c>
      <c r="H381" s="26">
        <v>379</v>
      </c>
      <c r="I381" s="26" t="s">
        <v>28</v>
      </c>
    </row>
    <row r="382" spans="3:9" x14ac:dyDescent="0.25">
      <c r="C382" s="26">
        <v>379</v>
      </c>
      <c r="D382" t="str">
        <f t="shared" si="5"/>
        <v>M</v>
      </c>
      <c r="G382">
        <v>381</v>
      </c>
      <c r="H382" s="26">
        <v>380</v>
      </c>
      <c r="I382" s="26" t="s">
        <v>28</v>
      </c>
    </row>
    <row r="383" spans="3:9" x14ac:dyDescent="0.25">
      <c r="C383" s="26">
        <v>380</v>
      </c>
      <c r="D383" t="str">
        <f t="shared" si="5"/>
        <v>M</v>
      </c>
      <c r="G383">
        <v>379</v>
      </c>
      <c r="H383" s="26">
        <v>381</v>
      </c>
      <c r="I383" s="26" t="s">
        <v>28</v>
      </c>
    </row>
    <row r="384" spans="3:9" x14ac:dyDescent="0.25">
      <c r="C384" s="26">
        <v>381</v>
      </c>
      <c r="D384" t="str">
        <f t="shared" si="5"/>
        <v>M</v>
      </c>
      <c r="G384">
        <v>383</v>
      </c>
      <c r="H384" s="26">
        <v>382</v>
      </c>
      <c r="I384" s="26" t="s">
        <v>28</v>
      </c>
    </row>
    <row r="385" spans="3:9" x14ac:dyDescent="0.25">
      <c r="C385" s="26">
        <v>382</v>
      </c>
      <c r="D385" t="str">
        <f t="shared" si="5"/>
        <v>M</v>
      </c>
      <c r="G385">
        <v>382</v>
      </c>
      <c r="H385" s="26">
        <v>383</v>
      </c>
      <c r="I385" s="26" t="s">
        <v>28</v>
      </c>
    </row>
    <row r="386" spans="3:9" x14ac:dyDescent="0.25">
      <c r="C386" s="26">
        <v>383</v>
      </c>
      <c r="D386" t="str">
        <f t="shared" si="5"/>
        <v>M</v>
      </c>
      <c r="G386">
        <v>385</v>
      </c>
      <c r="H386" s="26">
        <v>384</v>
      </c>
      <c r="I386" s="26" t="s">
        <v>28</v>
      </c>
    </row>
    <row r="387" spans="3:9" x14ac:dyDescent="0.25">
      <c r="C387" s="26">
        <v>384</v>
      </c>
      <c r="D387" t="str">
        <f t="shared" ref="D387:D454" si="6">VLOOKUP(G386,$H$2:$I$454,2,FALSE)</f>
        <v>M</v>
      </c>
      <c r="G387">
        <v>386</v>
      </c>
      <c r="H387" s="26">
        <v>385</v>
      </c>
      <c r="I387" s="26" t="s">
        <v>28</v>
      </c>
    </row>
    <row r="388" spans="3:9" x14ac:dyDescent="0.25">
      <c r="C388" s="26">
        <v>385</v>
      </c>
      <c r="D388" t="str">
        <f t="shared" si="6"/>
        <v>M</v>
      </c>
      <c r="G388">
        <v>388</v>
      </c>
      <c r="H388" s="26">
        <v>386</v>
      </c>
      <c r="I388" s="26" t="s">
        <v>28</v>
      </c>
    </row>
    <row r="389" spans="3:9" x14ac:dyDescent="0.25">
      <c r="C389" s="26">
        <v>386</v>
      </c>
      <c r="D389" t="str">
        <f t="shared" si="6"/>
        <v>F</v>
      </c>
      <c r="G389">
        <v>387</v>
      </c>
      <c r="H389" s="26">
        <v>387</v>
      </c>
      <c r="I389" s="26" t="s">
        <v>28</v>
      </c>
    </row>
    <row r="390" spans="3:9" x14ac:dyDescent="0.25">
      <c r="C390" s="26">
        <v>387</v>
      </c>
      <c r="D390" t="str">
        <f t="shared" si="6"/>
        <v>M</v>
      </c>
      <c r="G390">
        <v>389</v>
      </c>
      <c r="H390" s="26">
        <v>388</v>
      </c>
      <c r="I390" s="26" t="s">
        <v>29</v>
      </c>
    </row>
    <row r="391" spans="3:9" x14ac:dyDescent="0.25">
      <c r="C391" s="26">
        <v>388</v>
      </c>
      <c r="D391" t="str">
        <f t="shared" si="6"/>
        <v>F</v>
      </c>
      <c r="G391">
        <v>390</v>
      </c>
      <c r="H391" s="26">
        <v>389</v>
      </c>
      <c r="I391" s="26" t="s">
        <v>29</v>
      </c>
    </row>
    <row r="392" spans="3:9" x14ac:dyDescent="0.25">
      <c r="C392" s="26">
        <v>389</v>
      </c>
      <c r="D392" t="str">
        <f t="shared" si="6"/>
        <v>M</v>
      </c>
      <c r="G392">
        <v>391</v>
      </c>
      <c r="H392" s="26">
        <v>390</v>
      </c>
      <c r="I392" s="26" t="s">
        <v>28</v>
      </c>
    </row>
    <row r="393" spans="3:9" x14ac:dyDescent="0.25">
      <c r="C393" s="26">
        <v>390</v>
      </c>
      <c r="D393" t="str">
        <f t="shared" si="6"/>
        <v>M</v>
      </c>
      <c r="G393">
        <v>384</v>
      </c>
      <c r="H393" s="26">
        <v>391</v>
      </c>
      <c r="I393" s="26" t="s">
        <v>28</v>
      </c>
    </row>
    <row r="394" spans="3:9" x14ac:dyDescent="0.25">
      <c r="C394" s="26">
        <v>391</v>
      </c>
      <c r="D394" t="str">
        <f t="shared" si="6"/>
        <v>M</v>
      </c>
      <c r="G394">
        <v>393</v>
      </c>
      <c r="H394" s="26">
        <v>392</v>
      </c>
      <c r="I394" s="26" t="s">
        <v>28</v>
      </c>
    </row>
    <row r="395" spans="3:9" x14ac:dyDescent="0.25">
      <c r="C395" s="26">
        <v>392</v>
      </c>
      <c r="D395" t="str">
        <f t="shared" si="6"/>
        <v>M</v>
      </c>
      <c r="G395">
        <v>395</v>
      </c>
      <c r="H395" s="26">
        <v>393</v>
      </c>
      <c r="I395" s="26" t="s">
        <v>28</v>
      </c>
    </row>
    <row r="396" spans="3:9" x14ac:dyDescent="0.25">
      <c r="C396" s="26">
        <v>393</v>
      </c>
      <c r="D396" t="str">
        <f t="shared" si="6"/>
        <v>M</v>
      </c>
      <c r="G396">
        <v>397</v>
      </c>
      <c r="H396" s="26">
        <v>394</v>
      </c>
      <c r="I396" s="26" t="s">
        <v>28</v>
      </c>
    </row>
    <row r="397" spans="3:9" x14ac:dyDescent="0.25">
      <c r="C397" s="26">
        <v>394</v>
      </c>
      <c r="D397" t="str">
        <f t="shared" si="6"/>
        <v>M</v>
      </c>
      <c r="G397">
        <v>398</v>
      </c>
      <c r="H397" s="26">
        <v>395</v>
      </c>
      <c r="I397" s="26" t="s">
        <v>28</v>
      </c>
    </row>
    <row r="398" spans="3:9" x14ac:dyDescent="0.25">
      <c r="C398" s="26">
        <v>395</v>
      </c>
      <c r="D398" t="str">
        <f t="shared" si="6"/>
        <v>M</v>
      </c>
      <c r="G398">
        <v>396</v>
      </c>
      <c r="H398" s="26">
        <v>396</v>
      </c>
      <c r="I398" s="26" t="s">
        <v>28</v>
      </c>
    </row>
    <row r="399" spans="3:9" x14ac:dyDescent="0.25">
      <c r="C399" s="26">
        <v>396</v>
      </c>
      <c r="D399" t="str">
        <f t="shared" si="6"/>
        <v>M</v>
      </c>
      <c r="G399">
        <v>399</v>
      </c>
      <c r="H399" s="26">
        <v>397</v>
      </c>
      <c r="I399" s="26" t="s">
        <v>28</v>
      </c>
    </row>
    <row r="400" spans="3:9" x14ac:dyDescent="0.25">
      <c r="C400" s="26">
        <v>397</v>
      </c>
      <c r="D400" t="str">
        <f t="shared" si="6"/>
        <v>F</v>
      </c>
      <c r="G400">
        <v>401</v>
      </c>
      <c r="H400" s="26">
        <v>398</v>
      </c>
      <c r="I400" s="26" t="s">
        <v>28</v>
      </c>
    </row>
    <row r="401" spans="3:9" x14ac:dyDescent="0.25">
      <c r="C401" s="26">
        <v>398</v>
      </c>
      <c r="D401" t="str">
        <f t="shared" si="6"/>
        <v>M</v>
      </c>
      <c r="G401">
        <v>402</v>
      </c>
      <c r="H401" s="26">
        <v>399</v>
      </c>
      <c r="I401" s="26" t="s">
        <v>29</v>
      </c>
    </row>
    <row r="402" spans="3:9" x14ac:dyDescent="0.25">
      <c r="C402" s="26">
        <v>399</v>
      </c>
      <c r="D402" t="str">
        <f t="shared" si="6"/>
        <v>M</v>
      </c>
      <c r="G402">
        <v>403</v>
      </c>
      <c r="H402" s="26">
        <v>400</v>
      </c>
      <c r="I402" s="26" t="s">
        <v>29</v>
      </c>
    </row>
    <row r="403" spans="3:9" x14ac:dyDescent="0.25">
      <c r="C403" s="26">
        <v>400</v>
      </c>
      <c r="D403" t="str">
        <f t="shared" si="6"/>
        <v>F</v>
      </c>
      <c r="G403">
        <v>400</v>
      </c>
      <c r="H403" s="26">
        <v>401</v>
      </c>
      <c r="I403" s="26" t="s">
        <v>28</v>
      </c>
    </row>
    <row r="404" spans="3:9" x14ac:dyDescent="0.25">
      <c r="C404" s="26">
        <v>401</v>
      </c>
      <c r="D404" t="str">
        <f t="shared" si="6"/>
        <v>F</v>
      </c>
      <c r="G404">
        <v>392</v>
      </c>
      <c r="H404" s="26">
        <v>402</v>
      </c>
      <c r="I404" s="26" t="s">
        <v>28</v>
      </c>
    </row>
    <row r="405" spans="3:9" x14ac:dyDescent="0.25">
      <c r="C405" s="26">
        <v>402</v>
      </c>
      <c r="D405" t="str">
        <f t="shared" si="6"/>
        <v>M</v>
      </c>
      <c r="G405">
        <v>404</v>
      </c>
      <c r="H405" s="26">
        <v>403</v>
      </c>
      <c r="I405" s="26" t="s">
        <v>29</v>
      </c>
    </row>
    <row r="406" spans="3:9" x14ac:dyDescent="0.25">
      <c r="C406" s="26">
        <v>403</v>
      </c>
      <c r="D406" t="str">
        <f t="shared" si="6"/>
        <v>F</v>
      </c>
      <c r="G406">
        <v>405</v>
      </c>
      <c r="H406" s="26">
        <v>404</v>
      </c>
      <c r="I406" s="26" t="s">
        <v>29</v>
      </c>
    </row>
    <row r="407" spans="3:9" x14ac:dyDescent="0.25">
      <c r="C407" s="26">
        <v>404</v>
      </c>
      <c r="D407" t="str">
        <f t="shared" si="6"/>
        <v>M</v>
      </c>
      <c r="G407">
        <v>406</v>
      </c>
      <c r="H407" s="26">
        <v>405</v>
      </c>
      <c r="I407" s="26" t="s">
        <v>28</v>
      </c>
    </row>
    <row r="408" spans="3:9" x14ac:dyDescent="0.25">
      <c r="C408" s="26">
        <v>405</v>
      </c>
      <c r="D408" t="str">
        <f t="shared" si="6"/>
        <v>M</v>
      </c>
      <c r="G408">
        <v>408</v>
      </c>
      <c r="H408" s="26">
        <v>406</v>
      </c>
      <c r="I408" s="26" t="s">
        <v>28</v>
      </c>
    </row>
    <row r="409" spans="3:9" x14ac:dyDescent="0.25">
      <c r="C409" s="26">
        <v>406</v>
      </c>
      <c r="D409" t="str">
        <f t="shared" si="6"/>
        <v>M</v>
      </c>
      <c r="G409">
        <v>407</v>
      </c>
      <c r="H409" s="26">
        <v>407</v>
      </c>
      <c r="I409" s="26" t="s">
        <v>28</v>
      </c>
    </row>
    <row r="410" spans="3:9" x14ac:dyDescent="0.25">
      <c r="C410" s="26">
        <v>407</v>
      </c>
      <c r="D410" t="str">
        <f t="shared" si="6"/>
        <v>M</v>
      </c>
      <c r="G410">
        <v>394</v>
      </c>
      <c r="H410" s="26">
        <v>408</v>
      </c>
      <c r="I410" s="26" t="s">
        <v>28</v>
      </c>
    </row>
    <row r="411" spans="3:9" x14ac:dyDescent="0.25">
      <c r="C411" s="26">
        <v>408</v>
      </c>
      <c r="D411" t="str">
        <f t="shared" si="6"/>
        <v>M</v>
      </c>
      <c r="G411">
        <v>410</v>
      </c>
      <c r="H411" s="26">
        <v>409</v>
      </c>
      <c r="I411" s="26" t="s">
        <v>29</v>
      </c>
    </row>
    <row r="412" spans="3:9" x14ac:dyDescent="0.25">
      <c r="C412" s="26">
        <v>409</v>
      </c>
      <c r="D412" t="str">
        <f t="shared" si="6"/>
        <v>M</v>
      </c>
      <c r="G412">
        <v>409</v>
      </c>
      <c r="H412" s="26">
        <v>410</v>
      </c>
      <c r="I412" s="26" t="s">
        <v>28</v>
      </c>
    </row>
    <row r="413" spans="3:9" x14ac:dyDescent="0.25">
      <c r="C413" s="26">
        <v>410</v>
      </c>
      <c r="D413" t="str">
        <f t="shared" si="6"/>
        <v>F</v>
      </c>
      <c r="G413">
        <v>411</v>
      </c>
      <c r="H413" s="26">
        <v>411</v>
      </c>
      <c r="I413" s="26" t="s">
        <v>28</v>
      </c>
    </row>
    <row r="414" spans="3:9" x14ac:dyDescent="0.25">
      <c r="C414" s="26">
        <v>411</v>
      </c>
      <c r="D414" t="str">
        <f t="shared" si="6"/>
        <v>M</v>
      </c>
      <c r="G414">
        <v>412</v>
      </c>
      <c r="H414" s="26">
        <v>412</v>
      </c>
      <c r="I414" s="26" t="s">
        <v>28</v>
      </c>
    </row>
    <row r="415" spans="3:9" x14ac:dyDescent="0.25">
      <c r="C415" s="26">
        <v>412</v>
      </c>
      <c r="D415" t="str">
        <f t="shared" si="6"/>
        <v>M</v>
      </c>
      <c r="G415">
        <v>414</v>
      </c>
      <c r="H415" s="26">
        <v>413</v>
      </c>
      <c r="I415" s="26" t="s">
        <v>28</v>
      </c>
    </row>
    <row r="416" spans="3:9" x14ac:dyDescent="0.25">
      <c r="C416" s="26">
        <v>413</v>
      </c>
      <c r="D416" t="str">
        <f t="shared" si="6"/>
        <v>M</v>
      </c>
      <c r="G416">
        <v>416</v>
      </c>
      <c r="H416" s="26">
        <v>414</v>
      </c>
      <c r="I416" s="26" t="s">
        <v>28</v>
      </c>
    </row>
    <row r="417" spans="3:9" x14ac:dyDescent="0.25">
      <c r="C417" s="26">
        <v>414</v>
      </c>
      <c r="D417" t="str">
        <f t="shared" si="6"/>
        <v>F</v>
      </c>
      <c r="G417">
        <v>417</v>
      </c>
      <c r="H417" s="26">
        <v>415</v>
      </c>
      <c r="I417" s="26" t="s">
        <v>29</v>
      </c>
    </row>
    <row r="418" spans="3:9" x14ac:dyDescent="0.25">
      <c r="C418" s="26">
        <v>415</v>
      </c>
      <c r="D418" t="str">
        <f t="shared" si="6"/>
        <v>F</v>
      </c>
      <c r="G418">
        <v>413</v>
      </c>
      <c r="H418" s="26">
        <v>416</v>
      </c>
      <c r="I418" s="26" t="s">
        <v>29</v>
      </c>
    </row>
    <row r="419" spans="3:9" x14ac:dyDescent="0.25">
      <c r="C419" s="26">
        <v>416</v>
      </c>
      <c r="D419" t="str">
        <f t="shared" si="6"/>
        <v>M</v>
      </c>
      <c r="G419">
        <v>419</v>
      </c>
      <c r="H419" s="26">
        <v>417</v>
      </c>
      <c r="I419" s="26" t="s">
        <v>29</v>
      </c>
    </row>
    <row r="420" spans="3:9" x14ac:dyDescent="0.25">
      <c r="C420" s="26">
        <v>417</v>
      </c>
      <c r="D420" t="str">
        <f t="shared" si="6"/>
        <v>M</v>
      </c>
      <c r="G420">
        <v>418</v>
      </c>
      <c r="H420" s="26">
        <v>418</v>
      </c>
      <c r="I420" s="26" t="s">
        <v>28</v>
      </c>
    </row>
    <row r="421" spans="3:9" x14ac:dyDescent="0.25">
      <c r="C421" s="26">
        <v>418</v>
      </c>
      <c r="D421" t="str">
        <f t="shared" si="6"/>
        <v>M</v>
      </c>
      <c r="G421">
        <v>415</v>
      </c>
      <c r="H421" s="26">
        <v>419</v>
      </c>
      <c r="I421" s="26" t="s">
        <v>28</v>
      </c>
    </row>
    <row r="422" spans="3:9" x14ac:dyDescent="0.25">
      <c r="C422" s="26">
        <v>419</v>
      </c>
      <c r="D422" t="str">
        <f t="shared" si="6"/>
        <v>F</v>
      </c>
      <c r="G422">
        <v>420</v>
      </c>
      <c r="H422" s="26">
        <v>420</v>
      </c>
      <c r="I422" s="26" t="s">
        <v>29</v>
      </c>
    </row>
    <row r="423" spans="3:9" x14ac:dyDescent="0.25">
      <c r="C423" s="26">
        <v>420</v>
      </c>
      <c r="D423" t="str">
        <f t="shared" si="6"/>
        <v>F</v>
      </c>
      <c r="G423">
        <v>422</v>
      </c>
      <c r="H423" s="26">
        <v>421</v>
      </c>
      <c r="I423" s="26" t="s">
        <v>28</v>
      </c>
    </row>
    <row r="424" spans="3:9" x14ac:dyDescent="0.25">
      <c r="C424" s="26">
        <v>421</v>
      </c>
      <c r="D424" t="str">
        <f t="shared" si="6"/>
        <v>M</v>
      </c>
      <c r="G424">
        <v>421</v>
      </c>
      <c r="H424" s="26">
        <v>422</v>
      </c>
      <c r="I424" s="26" t="s">
        <v>28</v>
      </c>
    </row>
    <row r="425" spans="3:9" x14ac:dyDescent="0.25">
      <c r="C425" s="26">
        <v>422</v>
      </c>
      <c r="D425" t="str">
        <f t="shared" si="6"/>
        <v>M</v>
      </c>
      <c r="G425">
        <v>424</v>
      </c>
      <c r="H425" s="26">
        <v>423</v>
      </c>
      <c r="I425" s="26" t="s">
        <v>29</v>
      </c>
    </row>
    <row r="426" spans="3:9" x14ac:dyDescent="0.25">
      <c r="C426" s="26">
        <v>423</v>
      </c>
      <c r="D426" t="str">
        <f t="shared" si="6"/>
        <v>M</v>
      </c>
      <c r="G426">
        <v>423</v>
      </c>
      <c r="H426" s="26">
        <v>424</v>
      </c>
      <c r="I426" s="26" t="s">
        <v>28</v>
      </c>
    </row>
    <row r="427" spans="3:9" x14ac:dyDescent="0.25">
      <c r="C427" s="26">
        <v>424</v>
      </c>
      <c r="D427" t="str">
        <f t="shared" si="6"/>
        <v>F</v>
      </c>
      <c r="G427">
        <v>426</v>
      </c>
      <c r="H427" s="26">
        <v>425</v>
      </c>
      <c r="I427" s="26" t="s">
        <v>28</v>
      </c>
    </row>
    <row r="428" spans="3:9" x14ac:dyDescent="0.25">
      <c r="C428" s="26">
        <v>425</v>
      </c>
      <c r="D428" t="str">
        <f t="shared" si="6"/>
        <v>M</v>
      </c>
      <c r="G428">
        <v>428</v>
      </c>
      <c r="H428" s="26">
        <v>426</v>
      </c>
      <c r="I428" s="26" t="s">
        <v>28</v>
      </c>
    </row>
    <row r="429" spans="3:9" x14ac:dyDescent="0.25">
      <c r="C429" s="26">
        <v>426</v>
      </c>
      <c r="D429" t="str">
        <f t="shared" si="6"/>
        <v>M</v>
      </c>
      <c r="G429">
        <v>427</v>
      </c>
      <c r="H429" s="26">
        <v>427</v>
      </c>
      <c r="I429" s="26" t="s">
        <v>28</v>
      </c>
    </row>
    <row r="430" spans="3:9" x14ac:dyDescent="0.25">
      <c r="C430" s="26">
        <v>427</v>
      </c>
      <c r="D430" t="str">
        <f t="shared" si="6"/>
        <v>M</v>
      </c>
      <c r="G430">
        <v>425</v>
      </c>
      <c r="H430" s="26">
        <v>428</v>
      </c>
      <c r="I430" s="26" t="s">
        <v>28</v>
      </c>
    </row>
    <row r="431" spans="3:9" x14ac:dyDescent="0.25">
      <c r="C431" s="26">
        <v>428</v>
      </c>
      <c r="D431" t="str">
        <f t="shared" si="6"/>
        <v>M</v>
      </c>
      <c r="G431">
        <v>429</v>
      </c>
      <c r="H431" s="26">
        <v>429</v>
      </c>
      <c r="I431" s="26" t="s">
        <v>28</v>
      </c>
    </row>
    <row r="432" spans="3:9" x14ac:dyDescent="0.25">
      <c r="C432" s="26">
        <v>429</v>
      </c>
      <c r="D432" t="str">
        <f t="shared" si="6"/>
        <v>M</v>
      </c>
      <c r="G432">
        <v>430</v>
      </c>
      <c r="H432" s="26">
        <v>430</v>
      </c>
      <c r="I432" s="26" t="s">
        <v>28</v>
      </c>
    </row>
    <row r="433" spans="3:9" x14ac:dyDescent="0.25">
      <c r="C433" s="26">
        <v>430</v>
      </c>
      <c r="D433" t="str">
        <f t="shared" si="6"/>
        <v>M</v>
      </c>
      <c r="G433">
        <v>431</v>
      </c>
      <c r="H433" s="26">
        <v>431</v>
      </c>
      <c r="I433" s="26" t="s">
        <v>28</v>
      </c>
    </row>
    <row r="434" spans="3:9" x14ac:dyDescent="0.25">
      <c r="C434" s="26">
        <v>431</v>
      </c>
      <c r="D434" t="str">
        <f t="shared" si="6"/>
        <v>M</v>
      </c>
      <c r="G434">
        <v>434</v>
      </c>
      <c r="H434" s="26">
        <v>432</v>
      </c>
      <c r="I434" s="26" t="s">
        <v>28</v>
      </c>
    </row>
    <row r="435" spans="3:9" x14ac:dyDescent="0.25">
      <c r="C435" s="26">
        <v>432</v>
      </c>
      <c r="D435" t="str">
        <f t="shared" si="6"/>
        <v>M</v>
      </c>
      <c r="G435">
        <v>432</v>
      </c>
      <c r="H435" s="26">
        <v>433</v>
      </c>
      <c r="I435" s="26" t="s">
        <v>29</v>
      </c>
    </row>
    <row r="436" spans="3:9" x14ac:dyDescent="0.25">
      <c r="C436" s="26">
        <v>433</v>
      </c>
      <c r="D436" t="str">
        <f t="shared" si="6"/>
        <v>M</v>
      </c>
      <c r="G436">
        <v>435</v>
      </c>
      <c r="H436" s="26">
        <v>434</v>
      </c>
      <c r="I436" s="26" t="s">
        <v>28</v>
      </c>
    </row>
    <row r="437" spans="3:9" x14ac:dyDescent="0.25">
      <c r="C437" s="26">
        <v>434</v>
      </c>
      <c r="D437" t="str">
        <f t="shared" si="6"/>
        <v>F</v>
      </c>
      <c r="G437">
        <v>433</v>
      </c>
      <c r="H437" s="26">
        <v>435</v>
      </c>
      <c r="I437" s="26" t="s">
        <v>29</v>
      </c>
    </row>
    <row r="438" spans="3:9" x14ac:dyDescent="0.25">
      <c r="C438" s="26">
        <v>435</v>
      </c>
      <c r="D438" t="str">
        <f t="shared" si="6"/>
        <v>F</v>
      </c>
      <c r="G438">
        <v>438</v>
      </c>
      <c r="H438" s="26">
        <v>436</v>
      </c>
      <c r="I438" s="26" t="s">
        <v>29</v>
      </c>
    </row>
    <row r="439" spans="3:9" x14ac:dyDescent="0.25">
      <c r="C439" s="26">
        <v>436</v>
      </c>
      <c r="D439" t="str">
        <f t="shared" si="6"/>
        <v>F</v>
      </c>
      <c r="G439">
        <v>439</v>
      </c>
      <c r="H439" s="26">
        <v>437</v>
      </c>
      <c r="I439" s="26" t="s">
        <v>29</v>
      </c>
    </row>
    <row r="440" spans="3:9" x14ac:dyDescent="0.25">
      <c r="C440" s="26">
        <v>437</v>
      </c>
      <c r="D440" t="str">
        <f t="shared" si="6"/>
        <v>M</v>
      </c>
      <c r="G440">
        <v>440</v>
      </c>
      <c r="H440" s="26">
        <v>438</v>
      </c>
      <c r="I440" s="26" t="s">
        <v>29</v>
      </c>
    </row>
    <row r="441" spans="3:9" x14ac:dyDescent="0.25">
      <c r="C441" s="26">
        <v>438</v>
      </c>
      <c r="D441" t="str">
        <f t="shared" si="6"/>
        <v>M</v>
      </c>
      <c r="G441">
        <v>441</v>
      </c>
      <c r="H441" s="26">
        <v>439</v>
      </c>
      <c r="I441" s="26" t="s">
        <v>28</v>
      </c>
    </row>
    <row r="442" spans="3:9" x14ac:dyDescent="0.25">
      <c r="C442" s="26">
        <v>439</v>
      </c>
      <c r="D442" t="str">
        <f t="shared" si="6"/>
        <v>M</v>
      </c>
      <c r="G442">
        <v>436</v>
      </c>
      <c r="H442" s="26">
        <v>440</v>
      </c>
      <c r="I442" s="26" t="s">
        <v>28</v>
      </c>
    </row>
    <row r="443" spans="3:9" x14ac:dyDescent="0.25">
      <c r="C443" s="26">
        <v>440</v>
      </c>
      <c r="D443" t="str">
        <f t="shared" si="6"/>
        <v>F</v>
      </c>
      <c r="G443">
        <v>437</v>
      </c>
      <c r="H443" s="26">
        <v>441</v>
      </c>
      <c r="I443" s="26" t="s">
        <v>28</v>
      </c>
    </row>
    <row r="444" spans="3:9" x14ac:dyDescent="0.25">
      <c r="C444" s="26">
        <v>441</v>
      </c>
      <c r="D444" t="str">
        <f t="shared" si="6"/>
        <v>F</v>
      </c>
      <c r="G444">
        <v>442</v>
      </c>
      <c r="H444" s="26">
        <v>442</v>
      </c>
      <c r="I444" s="26" t="s">
        <v>28</v>
      </c>
    </row>
    <row r="445" spans="3:9" x14ac:dyDescent="0.25">
      <c r="C445" s="26">
        <v>442</v>
      </c>
      <c r="D445" t="str">
        <f t="shared" si="6"/>
        <v>M</v>
      </c>
      <c r="G445">
        <v>443</v>
      </c>
      <c r="H445" s="26">
        <v>443</v>
      </c>
      <c r="I445" s="26" t="s">
        <v>29</v>
      </c>
    </row>
    <row r="446" spans="3:9" x14ac:dyDescent="0.25">
      <c r="C446" s="26">
        <v>443</v>
      </c>
      <c r="D446" t="str">
        <f t="shared" si="6"/>
        <v>F</v>
      </c>
      <c r="G446">
        <v>445</v>
      </c>
      <c r="H446" s="26">
        <v>444</v>
      </c>
      <c r="I446" s="26" t="s">
        <v>28</v>
      </c>
    </row>
    <row r="447" spans="3:9" x14ac:dyDescent="0.25">
      <c r="C447" s="26">
        <v>444</v>
      </c>
      <c r="D447" t="str">
        <f t="shared" si="6"/>
        <v>M</v>
      </c>
      <c r="G447">
        <v>447</v>
      </c>
      <c r="H447" s="26">
        <v>445</v>
      </c>
      <c r="I447" s="26" t="s">
        <v>28</v>
      </c>
    </row>
    <row r="448" spans="3:9" x14ac:dyDescent="0.25">
      <c r="C448" s="26">
        <v>445</v>
      </c>
      <c r="D448" t="str">
        <f t="shared" si="6"/>
        <v>M</v>
      </c>
      <c r="G448">
        <v>446</v>
      </c>
      <c r="H448" s="26">
        <v>446</v>
      </c>
      <c r="I448" s="26" t="s">
        <v>28</v>
      </c>
    </row>
    <row r="449" spans="3:9" x14ac:dyDescent="0.25">
      <c r="C449" s="26">
        <v>446</v>
      </c>
      <c r="D449" t="str">
        <f t="shared" si="6"/>
        <v>M</v>
      </c>
      <c r="G449">
        <v>449</v>
      </c>
      <c r="H449" s="26">
        <v>447</v>
      </c>
      <c r="I449" s="26" t="s">
        <v>28</v>
      </c>
    </row>
    <row r="450" spans="3:9" x14ac:dyDescent="0.25">
      <c r="C450" s="26">
        <v>447</v>
      </c>
      <c r="D450" t="str">
        <f t="shared" si="6"/>
        <v>F</v>
      </c>
      <c r="G450">
        <v>450</v>
      </c>
      <c r="H450" s="26">
        <v>448</v>
      </c>
      <c r="I450" s="26" t="s">
        <v>28</v>
      </c>
    </row>
    <row r="451" spans="3:9" x14ac:dyDescent="0.25">
      <c r="C451" s="26">
        <v>448</v>
      </c>
      <c r="D451" t="str">
        <f t="shared" si="6"/>
        <v>M</v>
      </c>
      <c r="G451">
        <v>451</v>
      </c>
      <c r="H451" s="26">
        <v>449</v>
      </c>
      <c r="I451" s="26" t="s">
        <v>29</v>
      </c>
    </row>
    <row r="452" spans="3:9" x14ac:dyDescent="0.25">
      <c r="C452" s="26">
        <v>449</v>
      </c>
      <c r="D452" t="str">
        <f t="shared" si="6"/>
        <v>M</v>
      </c>
      <c r="G452">
        <v>448</v>
      </c>
      <c r="H452" s="26">
        <v>450</v>
      </c>
      <c r="I452" s="26" t="s">
        <v>28</v>
      </c>
    </row>
    <row r="453" spans="3:9" x14ac:dyDescent="0.25">
      <c r="C453" s="26">
        <v>450</v>
      </c>
      <c r="D453" t="str">
        <f t="shared" si="6"/>
        <v>M</v>
      </c>
      <c r="G453">
        <v>444</v>
      </c>
      <c r="H453" s="26">
        <v>451</v>
      </c>
      <c r="I453" s="26" t="s">
        <v>28</v>
      </c>
    </row>
    <row r="454" spans="3:9" x14ac:dyDescent="0.25">
      <c r="C454" s="26">
        <v>451</v>
      </c>
      <c r="D454" t="str">
        <f t="shared" si="6"/>
        <v>M</v>
      </c>
      <c r="H454" s="26">
        <v>452</v>
      </c>
      <c r="I454" s="26" t="s">
        <v>28</v>
      </c>
    </row>
  </sheetData>
  <mergeCells count="1"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Graphs -Size</vt:lpstr>
      <vt:lpstr>Graphs - Male Female</vt:lpstr>
      <vt:lpstr>K20</vt:lpstr>
      <vt:lpstr>K50</vt:lpstr>
      <vt:lpstr>K100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Nuguen</dc:creator>
  <cp:lastModifiedBy>Chris Nuguen</cp:lastModifiedBy>
  <dcterms:created xsi:type="dcterms:W3CDTF">2023-05-31T13:59:20Z</dcterms:created>
  <dcterms:modified xsi:type="dcterms:W3CDTF">2023-06-14T20:06:44Z</dcterms:modified>
</cp:coreProperties>
</file>